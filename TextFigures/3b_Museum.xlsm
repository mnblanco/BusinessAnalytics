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20339T\Desktop\Sheets\"/>
    </mc:Choice>
  </mc:AlternateContent>
  <bookViews>
    <workbookView xWindow="0" yWindow="0" windowWidth="15075" windowHeight="10500" tabRatio="775" activeTab="1"/>
  </bookViews>
  <sheets>
    <sheet name="Overview " sheetId="3" r:id="rId1"/>
    <sheet name="Instructions" sheetId="7" r:id="rId2"/>
    <sheet name="Log of changes" sheetId="11" r:id="rId3"/>
    <sheet name="Guide to Sheets" sheetId="12" r:id="rId4"/>
    <sheet name="Influence chart" sheetId="13" r:id="rId5"/>
    <sheet name="Assumptions" sheetId="4" r:id="rId6"/>
    <sheet name="3.8 Long-term Model" sheetId="15" r:id="rId7"/>
    <sheet name="Short-Term Results" sheetId="10" r:id="rId8"/>
    <sheet name="Historical data" sheetId="6" r:id="rId9"/>
    <sheet name="Ratio charts" sheetId="14" r:id="rId10"/>
  </sheets>
  <definedNames>
    <definedName name="_xlnm.Print_Area" localSheetId="5">Assumptions!$A$1:$J$75</definedName>
    <definedName name="_xlnm.Print_Area" localSheetId="0">'Overview '!$A$1:$R$53</definedName>
    <definedName name="_xlnm.Print_Area" localSheetId="7">'Short-Term Results'!$A$1:$Z$61</definedName>
  </definedNames>
  <calcPr calcId="162913" iterate="1" iterateCount="1"/>
</workbook>
</file>

<file path=xl/calcChain.xml><?xml version="1.0" encoding="utf-8"?>
<calcChain xmlns="http://schemas.openxmlformats.org/spreadsheetml/2006/main">
  <c r="D11" i="6" l="1"/>
  <c r="H11" i="6" s="1"/>
  <c r="G11" i="6"/>
  <c r="D12" i="6"/>
  <c r="H12" i="6" s="1"/>
  <c r="G12" i="6"/>
  <c r="D13" i="6"/>
  <c r="H13" i="6" s="1"/>
  <c r="G13" i="6"/>
  <c r="B14" i="6"/>
  <c r="B26" i="6" s="1"/>
  <c r="C14" i="6"/>
  <c r="D15" i="6"/>
  <c r="H15" i="6" s="1"/>
  <c r="G15" i="6"/>
  <c r="D16" i="6"/>
  <c r="H16" i="6" s="1"/>
  <c r="G16" i="6"/>
  <c r="D17" i="6"/>
  <c r="H17" i="6" s="1"/>
  <c r="G17" i="6"/>
  <c r="D18" i="6"/>
  <c r="H18" i="6" s="1"/>
  <c r="G18" i="6"/>
  <c r="G19" i="6"/>
  <c r="D20" i="6"/>
  <c r="H20" i="6" s="1"/>
  <c r="D21" i="6"/>
  <c r="H21" i="6" s="1"/>
  <c r="D22" i="6"/>
  <c r="H22" i="6" s="1"/>
  <c r="G22" i="6"/>
  <c r="D23" i="6"/>
  <c r="H23" i="6" s="1"/>
  <c r="G23" i="6"/>
  <c r="D24" i="6"/>
  <c r="H24" i="6" s="1"/>
  <c r="C25" i="6"/>
  <c r="G25" i="6" s="1"/>
  <c r="D25" i="6"/>
  <c r="D29" i="6"/>
  <c r="H29" i="6" s="1"/>
  <c r="G29" i="6"/>
  <c r="D30" i="6"/>
  <c r="H30" i="6" s="1"/>
  <c r="G30" i="6"/>
  <c r="D31" i="6"/>
  <c r="D32" i="6"/>
  <c r="D34" i="6"/>
  <c r="H34" i="6" s="1"/>
  <c r="G34" i="6"/>
  <c r="D35" i="6"/>
  <c r="H35" i="6" s="1"/>
  <c r="G35" i="6"/>
  <c r="D36" i="6"/>
  <c r="G36" i="6"/>
  <c r="H36" i="6"/>
  <c r="D37" i="6"/>
  <c r="H37" i="6" s="1"/>
  <c r="G37" i="6"/>
  <c r="D38" i="6"/>
  <c r="H38" i="6" s="1"/>
  <c r="G38" i="6"/>
  <c r="D39" i="6"/>
  <c r="G39" i="6"/>
  <c r="H39" i="6"/>
  <c r="D40" i="6"/>
  <c r="H40" i="6" s="1"/>
  <c r="G40" i="6"/>
  <c r="D41" i="6"/>
  <c r="H41" i="6" s="1"/>
  <c r="G41" i="6"/>
  <c r="D42" i="6"/>
  <c r="H42" i="6" s="1"/>
  <c r="D43" i="6"/>
  <c r="H43" i="6" s="1"/>
  <c r="G43" i="6"/>
  <c r="B44" i="6"/>
  <c r="C44" i="6"/>
  <c r="D45" i="6"/>
  <c r="G45" i="6"/>
  <c r="H45" i="6"/>
  <c r="D46" i="6"/>
  <c r="H46" i="6" s="1"/>
  <c r="G48" i="6"/>
  <c r="G51" i="6"/>
  <c r="H51" i="6"/>
  <c r="G52" i="6"/>
  <c r="H52" i="6"/>
  <c r="G53" i="6"/>
  <c r="H53" i="6"/>
  <c r="H54" i="6"/>
  <c r="H55" i="6"/>
  <c r="G56" i="6"/>
  <c r="H56" i="6"/>
  <c r="G57" i="6"/>
  <c r="H57" i="6"/>
  <c r="G58" i="6"/>
  <c r="H58" i="6"/>
  <c r="E11" i="10"/>
  <c r="F11" i="10"/>
  <c r="G11" i="10"/>
  <c r="H11" i="10"/>
  <c r="I11" i="10"/>
  <c r="J11" i="10"/>
  <c r="P11" i="10"/>
  <c r="Q11" i="10"/>
  <c r="Y11" i="10" s="1"/>
  <c r="R11" i="10"/>
  <c r="T11" i="10"/>
  <c r="P12" i="10"/>
  <c r="T12" i="10"/>
  <c r="Y12" i="10" s="1"/>
  <c r="P13" i="10"/>
  <c r="T13" i="10"/>
  <c r="P15" i="10"/>
  <c r="T15" i="10"/>
  <c r="P16" i="10"/>
  <c r="T16" i="10"/>
  <c r="P17" i="10"/>
  <c r="T17" i="10"/>
  <c r="P18" i="10"/>
  <c r="T18" i="10"/>
  <c r="P20" i="10"/>
  <c r="T20" i="10"/>
  <c r="T19" i="10" s="1"/>
  <c r="P21" i="10"/>
  <c r="T21" i="10"/>
  <c r="P22" i="10"/>
  <c r="T22" i="10"/>
  <c r="P23" i="10"/>
  <c r="T23" i="10"/>
  <c r="T24" i="10"/>
  <c r="P24" i="10"/>
  <c r="U24" i="10" s="1"/>
  <c r="P34" i="10"/>
  <c r="T34" i="10"/>
  <c r="P35" i="10"/>
  <c r="T35" i="10"/>
  <c r="X35" i="10" s="1"/>
  <c r="P36" i="10"/>
  <c r="T36" i="10"/>
  <c r="P37" i="10"/>
  <c r="T37" i="10"/>
  <c r="Y37" i="10" s="1"/>
  <c r="P38" i="10"/>
  <c r="T38" i="10"/>
  <c r="P39" i="10"/>
  <c r="T39" i="10"/>
  <c r="Z39" i="10" s="1"/>
  <c r="P40" i="10"/>
  <c r="T40" i="10"/>
  <c r="P41" i="10"/>
  <c r="T41" i="10"/>
  <c r="U41" i="10" s="1"/>
  <c r="P42" i="10"/>
  <c r="T42" i="10"/>
  <c r="P43" i="10"/>
  <c r="T43" i="10"/>
  <c r="U43" i="10" s="1"/>
  <c r="Q12" i="10"/>
  <c r="Q13" i="10"/>
  <c r="V13" i="10" s="1"/>
  <c r="Q15" i="10"/>
  <c r="Q16" i="10"/>
  <c r="V16" i="10" s="1"/>
  <c r="Q17" i="10"/>
  <c r="Q18" i="10"/>
  <c r="V18" i="10" s="1"/>
  <c r="Q20" i="10"/>
  <c r="Q21" i="10"/>
  <c r="V21" i="10" s="1"/>
  <c r="Q22" i="10"/>
  <c r="Q23" i="10"/>
  <c r="V23" i="10" s="1"/>
  <c r="Q24" i="10"/>
  <c r="Q34" i="10"/>
  <c r="Q35" i="10"/>
  <c r="Q36" i="10"/>
  <c r="V36" i="10" s="1"/>
  <c r="Q37" i="10"/>
  <c r="Q38" i="10"/>
  <c r="Y38" i="10" s="1"/>
  <c r="Q39" i="10"/>
  <c r="Q40" i="10"/>
  <c r="Q41" i="10"/>
  <c r="Q42" i="10"/>
  <c r="Q43" i="10"/>
  <c r="R12" i="10"/>
  <c r="R13" i="10"/>
  <c r="W13" i="10" s="1"/>
  <c r="R15" i="10"/>
  <c r="Z15" i="10" s="1"/>
  <c r="R16" i="10"/>
  <c r="W16" i="10" s="1"/>
  <c r="R17" i="10"/>
  <c r="R18" i="10"/>
  <c r="W18" i="10" s="1"/>
  <c r="R20" i="10"/>
  <c r="W20" i="10" s="1"/>
  <c r="R21" i="10"/>
  <c r="W21" i="10" s="1"/>
  <c r="R22" i="10"/>
  <c r="R23" i="10"/>
  <c r="R24" i="10"/>
  <c r="W24" i="10" s="1"/>
  <c r="R34" i="10"/>
  <c r="R35" i="10"/>
  <c r="R36" i="10"/>
  <c r="R37" i="10"/>
  <c r="W37" i="10" s="1"/>
  <c r="R38" i="10"/>
  <c r="R39" i="10"/>
  <c r="R40" i="10"/>
  <c r="R41" i="10"/>
  <c r="R42" i="10"/>
  <c r="R43" i="10"/>
  <c r="X38" i="10"/>
  <c r="Y24" i="10"/>
  <c r="Y39" i="10"/>
  <c r="Z13" i="10"/>
  <c r="Z16" i="10"/>
  <c r="Z18" i="10"/>
  <c r="Z21" i="10"/>
  <c r="Z24" i="10"/>
  <c r="Z34" i="10"/>
  <c r="T54" i="10"/>
  <c r="P55" i="10"/>
  <c r="U54" i="10"/>
  <c r="V54" i="10"/>
  <c r="Q55" i="10"/>
  <c r="W54" i="10"/>
  <c r="R55" i="10"/>
  <c r="G54" i="15"/>
  <c r="F55" i="15"/>
  <c r="E34" i="15"/>
  <c r="F34" i="15"/>
  <c r="G34" i="15"/>
  <c r="H34" i="15" s="1"/>
  <c r="E35" i="15"/>
  <c r="F35" i="15"/>
  <c r="E36" i="15"/>
  <c r="F36" i="15"/>
  <c r="G36" i="15" s="1"/>
  <c r="E37" i="15"/>
  <c r="F37" i="15"/>
  <c r="E38" i="15"/>
  <c r="F38" i="15"/>
  <c r="E39" i="15"/>
  <c r="F39" i="15"/>
  <c r="E40" i="15"/>
  <c r="F40" i="15"/>
  <c r="E41" i="15"/>
  <c r="F41" i="15"/>
  <c r="E42" i="15"/>
  <c r="F42" i="15"/>
  <c r="E43" i="15"/>
  <c r="F43" i="15"/>
  <c r="E11" i="15"/>
  <c r="F11" i="15"/>
  <c r="E12" i="15"/>
  <c r="F12" i="15"/>
  <c r="E13" i="15"/>
  <c r="F13" i="15"/>
  <c r="E15" i="15"/>
  <c r="F15" i="15"/>
  <c r="E16" i="15"/>
  <c r="F16" i="15"/>
  <c r="E17" i="15"/>
  <c r="F17" i="15"/>
  <c r="E18" i="15"/>
  <c r="F18" i="15"/>
  <c r="E20" i="15"/>
  <c r="F20" i="15"/>
  <c r="E21" i="15"/>
  <c r="F21" i="15"/>
  <c r="E22" i="15"/>
  <c r="F22" i="15"/>
  <c r="E23" i="15"/>
  <c r="F23" i="15"/>
  <c r="E24" i="15"/>
  <c r="G24" i="15" s="1"/>
  <c r="H24" i="15" s="1"/>
  <c r="I24" i="15" s="1"/>
  <c r="J24" i="15" s="1"/>
  <c r="K24" i="15" s="1"/>
  <c r="L24" i="15" s="1"/>
  <c r="M24" i="15" s="1"/>
  <c r="N24" i="15" s="1"/>
  <c r="O24" i="15" s="1"/>
  <c r="P24" i="15" s="1"/>
  <c r="H54" i="15"/>
  <c r="X54" i="10"/>
  <c r="Y54" i="10"/>
  <c r="Z54" i="10"/>
  <c r="P30" i="10"/>
  <c r="T30" i="10"/>
  <c r="Q30" i="10"/>
  <c r="R30" i="10"/>
  <c r="P25" i="10"/>
  <c r="P29" i="10"/>
  <c r="U29" i="10" s="1"/>
  <c r="Q29" i="10"/>
  <c r="R29" i="10"/>
  <c r="T29" i="10"/>
  <c r="P31" i="10"/>
  <c r="Q31" i="10"/>
  <c r="R31" i="10"/>
  <c r="P32" i="10"/>
  <c r="Q32" i="10"/>
  <c r="R32" i="10"/>
  <c r="P33" i="10"/>
  <c r="Q33" i="10"/>
  <c r="R33" i="10"/>
  <c r="P44" i="10"/>
  <c r="Q44" i="10"/>
  <c r="R44" i="10"/>
  <c r="P45" i="10"/>
  <c r="Q45" i="10"/>
  <c r="R45" i="10"/>
  <c r="T45" i="10"/>
  <c r="P46" i="10"/>
  <c r="Q46" i="10"/>
  <c r="R46" i="10"/>
  <c r="P54" i="10"/>
  <c r="Q54" i="10"/>
  <c r="R54" i="10"/>
  <c r="G8" i="15"/>
  <c r="H8" i="15" s="1"/>
  <c r="I8" i="15" s="1"/>
  <c r="J8" i="15" s="1"/>
  <c r="K8" i="15" s="1"/>
  <c r="L8" i="15" s="1"/>
  <c r="M8" i="15" s="1"/>
  <c r="N8" i="15" s="1"/>
  <c r="O8" i="15" s="1"/>
  <c r="P8" i="15" s="1"/>
  <c r="C11" i="15"/>
  <c r="C12" i="15"/>
  <c r="C13" i="15"/>
  <c r="B14" i="15"/>
  <c r="B26" i="15" s="1"/>
  <c r="D14" i="15"/>
  <c r="C15" i="15"/>
  <c r="C16" i="15"/>
  <c r="C17" i="15"/>
  <c r="C18" i="15"/>
  <c r="D19" i="15"/>
  <c r="D26" i="15" s="1"/>
  <c r="C20" i="15"/>
  <c r="C66" i="15" s="1"/>
  <c r="C21" i="15"/>
  <c r="C22" i="15"/>
  <c r="C23" i="15"/>
  <c r="C24" i="15"/>
  <c r="C29" i="15"/>
  <c r="E29" i="15"/>
  <c r="F29" i="15"/>
  <c r="G29" i="15" s="1"/>
  <c r="H29" i="15" s="1"/>
  <c r="I29" i="15" s="1"/>
  <c r="J29" i="15" s="1"/>
  <c r="K29" i="15" s="1"/>
  <c r="L29" i="15" s="1"/>
  <c r="M29" i="15" s="1"/>
  <c r="N29" i="15" s="1"/>
  <c r="O29" i="15" s="1"/>
  <c r="P29" i="15" s="1"/>
  <c r="C30" i="15"/>
  <c r="E30" i="15"/>
  <c r="F30" i="15"/>
  <c r="G30" i="15"/>
  <c r="H30" i="15" s="1"/>
  <c r="I30" i="15" s="1"/>
  <c r="J30" i="15" s="1"/>
  <c r="K30" i="15" s="1"/>
  <c r="L30" i="15" s="1"/>
  <c r="M30" i="15" s="1"/>
  <c r="N30" i="15" s="1"/>
  <c r="O30" i="15" s="1"/>
  <c r="P30" i="15" s="1"/>
  <c r="C31" i="15"/>
  <c r="E31" i="15"/>
  <c r="G31" i="15" s="1"/>
  <c r="H31" i="15" s="1"/>
  <c r="I31" i="15" s="1"/>
  <c r="J31" i="15" s="1"/>
  <c r="K31" i="15" s="1"/>
  <c r="L31" i="15" s="1"/>
  <c r="M31" i="15" s="1"/>
  <c r="N31" i="15" s="1"/>
  <c r="O31" i="15" s="1"/>
  <c r="P31" i="15" s="1"/>
  <c r="E32" i="15"/>
  <c r="G32" i="15" s="1"/>
  <c r="H32" i="15" s="1"/>
  <c r="I32" i="15" s="1"/>
  <c r="J32" i="15" s="1"/>
  <c r="K32" i="15" s="1"/>
  <c r="L32" i="15" s="1"/>
  <c r="M32" i="15" s="1"/>
  <c r="N32" i="15" s="1"/>
  <c r="O32" i="15" s="1"/>
  <c r="P32" i="15" s="1"/>
  <c r="E33" i="15"/>
  <c r="C34" i="15"/>
  <c r="D34" i="15"/>
  <c r="C35" i="15"/>
  <c r="D35" i="15"/>
  <c r="D67" i="15" s="1"/>
  <c r="C36" i="15"/>
  <c r="D36" i="15"/>
  <c r="D68" i="15" s="1"/>
  <c r="C37" i="15"/>
  <c r="D37" i="15"/>
  <c r="C38" i="15"/>
  <c r="D38" i="15"/>
  <c r="C39" i="15"/>
  <c r="D39" i="15"/>
  <c r="C40" i="15"/>
  <c r="D40" i="15"/>
  <c r="C41" i="15"/>
  <c r="D41" i="15"/>
  <c r="C42" i="15"/>
  <c r="D42" i="15"/>
  <c r="C43" i="15"/>
  <c r="D43" i="15"/>
  <c r="B44" i="15"/>
  <c r="B65" i="15" s="1"/>
  <c r="C45" i="15"/>
  <c r="D45" i="15"/>
  <c r="E45" i="15"/>
  <c r="C46" i="15"/>
  <c r="D46" i="15"/>
  <c r="E46" i="15"/>
  <c r="I54" i="15"/>
  <c r="J54" i="15"/>
  <c r="K54" i="15"/>
  <c r="C54" i="15"/>
  <c r="D54" i="15"/>
  <c r="E54" i="15"/>
  <c r="F54" i="15"/>
  <c r="B63" i="15"/>
  <c r="B64" i="15"/>
  <c r="D66" i="15"/>
  <c r="B14" i="4"/>
  <c r="B26" i="4" s="1"/>
  <c r="C14" i="4"/>
  <c r="C14" i="15" s="1"/>
  <c r="D14" i="4"/>
  <c r="D14" i="6" s="1"/>
  <c r="H14" i="6" s="1"/>
  <c r="E14" i="4"/>
  <c r="E14" i="15" s="1"/>
  <c r="C19" i="4"/>
  <c r="C19" i="15" s="1"/>
  <c r="D19" i="4"/>
  <c r="D56" i="4" s="1"/>
  <c r="D56" i="15" s="1"/>
  <c r="E19" i="4"/>
  <c r="E19" i="15" s="1"/>
  <c r="C33" i="4"/>
  <c r="C33" i="6"/>
  <c r="G33" i="6" s="1"/>
  <c r="D33" i="4"/>
  <c r="D33" i="6" s="1"/>
  <c r="E33" i="4"/>
  <c r="B44" i="4"/>
  <c r="C44" i="4"/>
  <c r="D44" i="4"/>
  <c r="D44" i="15" s="1"/>
  <c r="D63" i="15" s="1"/>
  <c r="E44" i="4"/>
  <c r="C53" i="4"/>
  <c r="C55" i="4" s="1"/>
  <c r="C55" i="15" s="1"/>
  <c r="C53" i="15"/>
  <c r="W19" i="10"/>
  <c r="X30" i="10"/>
  <c r="Y41" i="10" l="1"/>
  <c r="Y35" i="10"/>
  <c r="V43" i="10"/>
  <c r="V39" i="10"/>
  <c r="V22" i="10"/>
  <c r="V17" i="10"/>
  <c r="V12" i="10"/>
  <c r="Z30" i="10"/>
  <c r="E67" i="15"/>
  <c r="Y22" i="10"/>
  <c r="X20" i="10"/>
  <c r="V41" i="10"/>
  <c r="V37" i="10"/>
  <c r="V20" i="10"/>
  <c r="V15" i="10"/>
  <c r="X22" i="10"/>
  <c r="X17" i="10"/>
  <c r="H26" i="10" s="1"/>
  <c r="X15" i="10"/>
  <c r="X12" i="10"/>
  <c r="B62" i="15"/>
  <c r="C57" i="4"/>
  <c r="C57" i="15" s="1"/>
  <c r="Z29" i="10"/>
  <c r="G20" i="15"/>
  <c r="H20" i="15" s="1"/>
  <c r="G43" i="15"/>
  <c r="H43" i="15" s="1"/>
  <c r="I43" i="15" s="1"/>
  <c r="J43" i="15" s="1"/>
  <c r="K43" i="15" s="1"/>
  <c r="L43" i="15" s="1"/>
  <c r="M43" i="15" s="1"/>
  <c r="N43" i="15" s="1"/>
  <c r="O43" i="15" s="1"/>
  <c r="P43" i="15" s="1"/>
  <c r="G41" i="15"/>
  <c r="H41" i="15" s="1"/>
  <c r="I41" i="15" s="1"/>
  <c r="J41" i="15" s="1"/>
  <c r="K41" i="15" s="1"/>
  <c r="L41" i="15" s="1"/>
  <c r="M41" i="15" s="1"/>
  <c r="N41" i="15" s="1"/>
  <c r="O41" i="15" s="1"/>
  <c r="P41" i="15" s="1"/>
  <c r="G37" i="15"/>
  <c r="H37" i="15" s="1"/>
  <c r="I37" i="15" s="1"/>
  <c r="J37" i="15" s="1"/>
  <c r="K37" i="15" s="1"/>
  <c r="L37" i="15" s="1"/>
  <c r="M37" i="15" s="1"/>
  <c r="N37" i="15" s="1"/>
  <c r="O37" i="15" s="1"/>
  <c r="P37" i="15" s="1"/>
  <c r="G35" i="15"/>
  <c r="Z37" i="10"/>
  <c r="Z20" i="10"/>
  <c r="J24" i="10" s="1"/>
  <c r="Y43" i="10"/>
  <c r="Y17" i="10"/>
  <c r="W39" i="10"/>
  <c r="W22" i="10"/>
  <c r="W17" i="10"/>
  <c r="Y42" i="10"/>
  <c r="U40" i="10"/>
  <c r="Z38" i="10"/>
  <c r="X36" i="10"/>
  <c r="X34" i="10"/>
  <c r="U23" i="10"/>
  <c r="X16" i="10"/>
  <c r="U13" i="10"/>
  <c r="B48" i="15"/>
  <c r="B69" i="15"/>
  <c r="G66" i="15"/>
  <c r="W29" i="10"/>
  <c r="Y30" i="10"/>
  <c r="G21" i="15"/>
  <c r="G18" i="15"/>
  <c r="H18" i="15" s="1"/>
  <c r="I18" i="15" s="1"/>
  <c r="J18" i="15" s="1"/>
  <c r="K18" i="15" s="1"/>
  <c r="L18" i="15" s="1"/>
  <c r="M18" i="15" s="1"/>
  <c r="N18" i="15" s="1"/>
  <c r="O18" i="15" s="1"/>
  <c r="P18" i="15" s="1"/>
  <c r="G13" i="15"/>
  <c r="H13" i="15" s="1"/>
  <c r="I13" i="15" s="1"/>
  <c r="J13" i="15" s="1"/>
  <c r="K13" i="15" s="1"/>
  <c r="L13" i="15" s="1"/>
  <c r="M13" i="15" s="1"/>
  <c r="N13" i="15" s="1"/>
  <c r="O13" i="15" s="1"/>
  <c r="P13" i="15" s="1"/>
  <c r="G11" i="15"/>
  <c r="H11" i="15" s="1"/>
  <c r="G42" i="15"/>
  <c r="H42" i="15" s="1"/>
  <c r="I42" i="15" s="1"/>
  <c r="J42" i="15" s="1"/>
  <c r="K42" i="15" s="1"/>
  <c r="L42" i="15" s="1"/>
  <c r="M42" i="15" s="1"/>
  <c r="N42" i="15" s="1"/>
  <c r="O42" i="15" s="1"/>
  <c r="P42" i="15" s="1"/>
  <c r="T44" i="10"/>
  <c r="T50" i="10" s="1"/>
  <c r="Z40" i="10"/>
  <c r="Z36" i="10"/>
  <c r="Z22" i="10"/>
  <c r="X40" i="10"/>
  <c r="X23" i="10"/>
  <c r="W36" i="10"/>
  <c r="W23" i="10"/>
  <c r="X39" i="10"/>
  <c r="X33" i="10" s="1"/>
  <c r="X37" i="10"/>
  <c r="U35" i="10"/>
  <c r="U12" i="10"/>
  <c r="G46" i="6"/>
  <c r="H25" i="6"/>
  <c r="B48" i="4"/>
  <c r="T33" i="10"/>
  <c r="H24" i="10"/>
  <c r="W42" i="10"/>
  <c r="W38" i="10"/>
  <c r="W34" i="10"/>
  <c r="D65" i="15"/>
  <c r="G17" i="15"/>
  <c r="H17" i="15" s="1"/>
  <c r="E66" i="15"/>
  <c r="Z42" i="10"/>
  <c r="Z23" i="10"/>
  <c r="V38" i="10"/>
  <c r="V34" i="10"/>
  <c r="U22" i="10"/>
  <c r="X21" i="10"/>
  <c r="H25" i="10" s="1"/>
  <c r="X18" i="10"/>
  <c r="U16" i="10"/>
  <c r="B48" i="6"/>
  <c r="H66" i="15"/>
  <c r="E68" i="15"/>
  <c r="Y20" i="10"/>
  <c r="Y15" i="10"/>
  <c r="X42" i="10"/>
  <c r="W40" i="10"/>
  <c r="F24" i="10"/>
  <c r="U39" i="10"/>
  <c r="C26" i="6"/>
  <c r="G26" i="6" s="1"/>
  <c r="D33" i="15"/>
  <c r="B70" i="15"/>
  <c r="V29" i="10"/>
  <c r="W30" i="10"/>
  <c r="G15" i="15"/>
  <c r="H15" i="15" s="1"/>
  <c r="I15" i="15" s="1"/>
  <c r="J15" i="15" s="1"/>
  <c r="K15" i="15" s="1"/>
  <c r="L15" i="15" s="1"/>
  <c r="M15" i="15" s="1"/>
  <c r="N15" i="15" s="1"/>
  <c r="O15" i="15" s="1"/>
  <c r="P15" i="15" s="1"/>
  <c r="G40" i="15"/>
  <c r="H40" i="15" s="1"/>
  <c r="I40" i="15" s="1"/>
  <c r="J40" i="15" s="1"/>
  <c r="K40" i="15" s="1"/>
  <c r="L40" i="15" s="1"/>
  <c r="M40" i="15" s="1"/>
  <c r="N40" i="15" s="1"/>
  <c r="O40" i="15" s="1"/>
  <c r="P40" i="15" s="1"/>
  <c r="G38" i="15"/>
  <c r="H38" i="15" s="1"/>
  <c r="I38" i="15" s="1"/>
  <c r="J38" i="15" s="1"/>
  <c r="K38" i="15" s="1"/>
  <c r="L38" i="15" s="1"/>
  <c r="M38" i="15" s="1"/>
  <c r="N38" i="15" s="1"/>
  <c r="O38" i="15" s="1"/>
  <c r="P38" i="15" s="1"/>
  <c r="T14" i="10"/>
  <c r="Z43" i="10"/>
  <c r="Z35" i="10"/>
  <c r="Z17" i="10"/>
  <c r="J26" i="10" s="1"/>
  <c r="Z12" i="10"/>
  <c r="Y40" i="10"/>
  <c r="Y36" i="10"/>
  <c r="I26" i="10" s="1"/>
  <c r="Y23" i="10"/>
  <c r="Y18" i="10"/>
  <c r="Y13" i="10"/>
  <c r="Y14" i="10" s="1"/>
  <c r="X41" i="10"/>
  <c r="X24" i="10"/>
  <c r="W43" i="10"/>
  <c r="W35" i="10"/>
  <c r="W15" i="10"/>
  <c r="W12" i="10"/>
  <c r="V40" i="10"/>
  <c r="U37" i="10"/>
  <c r="U18" i="10"/>
  <c r="G14" i="6"/>
  <c r="D69" i="15"/>
  <c r="U30" i="10"/>
  <c r="G16" i="15"/>
  <c r="H16" i="15" s="1"/>
  <c r="I16" i="15" s="1"/>
  <c r="J16" i="15" s="1"/>
  <c r="K16" i="15" s="1"/>
  <c r="L16" i="15" s="1"/>
  <c r="M16" i="15" s="1"/>
  <c r="N16" i="15" s="1"/>
  <c r="O16" i="15" s="1"/>
  <c r="P16" i="15" s="1"/>
  <c r="G39" i="15"/>
  <c r="H39" i="15" s="1"/>
  <c r="I39" i="15" s="1"/>
  <c r="J39" i="15" s="1"/>
  <c r="K39" i="15" s="1"/>
  <c r="L39" i="15" s="1"/>
  <c r="M39" i="15" s="1"/>
  <c r="N39" i="15" s="1"/>
  <c r="O39" i="15" s="1"/>
  <c r="P39" i="15" s="1"/>
  <c r="Z41" i="10"/>
  <c r="Y34" i="10"/>
  <c r="Y33" i="10" s="1"/>
  <c r="Y21" i="10"/>
  <c r="Y16" i="10"/>
  <c r="X43" i="10"/>
  <c r="X13" i="10"/>
  <c r="W41" i="10"/>
  <c r="V42" i="10"/>
  <c r="V35" i="10"/>
  <c r="F25" i="10" s="1"/>
  <c r="U36" i="10"/>
  <c r="U20" i="10"/>
  <c r="U17" i="10"/>
  <c r="U11" i="10"/>
  <c r="U14" i="10" s="1"/>
  <c r="G19" i="15"/>
  <c r="H21" i="15"/>
  <c r="I21" i="15" s="1"/>
  <c r="J21" i="15" s="1"/>
  <c r="K21" i="15" s="1"/>
  <c r="L21" i="15" s="1"/>
  <c r="G67" i="15"/>
  <c r="H36" i="15"/>
  <c r="I36" i="15" s="1"/>
  <c r="J36" i="15" s="1"/>
  <c r="K36" i="15" s="1"/>
  <c r="L36" i="15" s="1"/>
  <c r="M36" i="15" s="1"/>
  <c r="N36" i="15" s="1"/>
  <c r="O36" i="15" s="1"/>
  <c r="P36" i="15" s="1"/>
  <c r="G68" i="15"/>
  <c r="C67" i="15"/>
  <c r="C68" i="15"/>
  <c r="X44" i="10"/>
  <c r="H14" i="10" s="1"/>
  <c r="G24" i="10"/>
  <c r="F26" i="10"/>
  <c r="D44" i="6"/>
  <c r="H44" i="6" s="1"/>
  <c r="C48" i="6"/>
  <c r="X29" i="10"/>
  <c r="V30" i="10"/>
  <c r="G23" i="15"/>
  <c r="H23" i="15" s="1"/>
  <c r="I23" i="15" s="1"/>
  <c r="J23" i="15" s="1"/>
  <c r="K23" i="15" s="1"/>
  <c r="L23" i="15" s="1"/>
  <c r="M23" i="15" s="1"/>
  <c r="N23" i="15" s="1"/>
  <c r="O23" i="15" s="1"/>
  <c r="P23" i="15" s="1"/>
  <c r="G22" i="15"/>
  <c r="H22" i="15" s="1"/>
  <c r="I22" i="15" s="1"/>
  <c r="J22" i="15" s="1"/>
  <c r="K22" i="15" s="1"/>
  <c r="L22" i="15" s="1"/>
  <c r="M22" i="15" s="1"/>
  <c r="N22" i="15" s="1"/>
  <c r="O22" i="15" s="1"/>
  <c r="P22" i="15" s="1"/>
  <c r="G12" i="15"/>
  <c r="H12" i="15" s="1"/>
  <c r="H14" i="15" s="1"/>
  <c r="G25" i="10"/>
  <c r="U42" i="10"/>
  <c r="U38" i="10"/>
  <c r="U34" i="10"/>
  <c r="V24" i="10"/>
  <c r="U21" i="10"/>
  <c r="E25" i="10" s="1"/>
  <c r="U15" i="10"/>
  <c r="V11" i="10"/>
  <c r="V14" i="10" s="1"/>
  <c r="Z11" i="10"/>
  <c r="M21" i="15"/>
  <c r="I34" i="15"/>
  <c r="E44" i="15"/>
  <c r="E56" i="4"/>
  <c r="E50" i="4"/>
  <c r="C44" i="15"/>
  <c r="C56" i="4"/>
  <c r="I20" i="15"/>
  <c r="H19" i="15"/>
  <c r="I17" i="15"/>
  <c r="H35" i="15"/>
  <c r="G26" i="10"/>
  <c r="V19" i="10"/>
  <c r="D62" i="15"/>
  <c r="D64" i="15"/>
  <c r="D19" i="6"/>
  <c r="H19" i="6" s="1"/>
  <c r="D26" i="4"/>
  <c r="D26" i="6" s="1"/>
  <c r="G14" i="15"/>
  <c r="I11" i="15"/>
  <c r="H33" i="6"/>
  <c r="C50" i="4"/>
  <c r="D70" i="15"/>
  <c r="X11" i="10"/>
  <c r="Y29" i="10"/>
  <c r="W11" i="10"/>
  <c r="Z33" i="10" l="1"/>
  <c r="H20" i="10"/>
  <c r="U19" i="10"/>
  <c r="H68" i="15"/>
  <c r="Z19" i="10"/>
  <c r="Z44" i="10"/>
  <c r="Y44" i="10"/>
  <c r="I20" i="10" s="1"/>
  <c r="J25" i="10"/>
  <c r="W33" i="10"/>
  <c r="X19" i="10"/>
  <c r="E26" i="10"/>
  <c r="T56" i="10"/>
  <c r="T25" i="10" s="1"/>
  <c r="T26" i="10" s="1"/>
  <c r="T48" i="10" s="1"/>
  <c r="H28" i="10"/>
  <c r="U33" i="10"/>
  <c r="Y50" i="10"/>
  <c r="G33" i="15"/>
  <c r="H33" i="15"/>
  <c r="J20" i="10"/>
  <c r="I14" i="10"/>
  <c r="J21" i="10"/>
  <c r="H26" i="6"/>
  <c r="G44" i="15"/>
  <c r="G50" i="15" s="1"/>
  <c r="Z14" i="10"/>
  <c r="Z56" i="10" s="1"/>
  <c r="Z25" i="10" s="1"/>
  <c r="W44" i="10"/>
  <c r="G27" i="10" s="1"/>
  <c r="Y19" i="10"/>
  <c r="Y56" i="10" s="1"/>
  <c r="Y25" i="10" s="1"/>
  <c r="I25" i="10"/>
  <c r="X50" i="10"/>
  <c r="J28" i="10"/>
  <c r="H23" i="10"/>
  <c r="U44" i="10"/>
  <c r="V33" i="10"/>
  <c r="V44" i="10"/>
  <c r="V56" i="10" s="1"/>
  <c r="I24" i="10"/>
  <c r="J27" i="10"/>
  <c r="Z50" i="10"/>
  <c r="J22" i="10"/>
  <c r="I28" i="10"/>
  <c r="I21" i="10"/>
  <c r="U50" i="10"/>
  <c r="H48" i="6"/>
  <c r="H50" i="6"/>
  <c r="G50" i="6"/>
  <c r="H27" i="10"/>
  <c r="H22" i="10"/>
  <c r="E28" i="10"/>
  <c r="E24" i="10"/>
  <c r="W14" i="10"/>
  <c r="W56" i="10" s="1"/>
  <c r="I12" i="15"/>
  <c r="I14" i="15" s="1"/>
  <c r="H67" i="15"/>
  <c r="I35" i="15"/>
  <c r="I33" i="15" s="1"/>
  <c r="C56" i="15"/>
  <c r="C25" i="4"/>
  <c r="C58" i="4"/>
  <c r="E63" i="15"/>
  <c r="E65" i="15"/>
  <c r="E64" i="15"/>
  <c r="E62" i="15"/>
  <c r="H44" i="15"/>
  <c r="H21" i="10"/>
  <c r="X14" i="10"/>
  <c r="W50" i="10"/>
  <c r="G23" i="10"/>
  <c r="U56" i="10"/>
  <c r="J11" i="15"/>
  <c r="G64" i="15"/>
  <c r="J17" i="15"/>
  <c r="I68" i="15"/>
  <c r="J20" i="15"/>
  <c r="I19" i="15"/>
  <c r="I66" i="15"/>
  <c r="C63" i="15"/>
  <c r="C65" i="15"/>
  <c r="C64" i="15"/>
  <c r="C62" i="15"/>
  <c r="E25" i="4"/>
  <c r="E56" i="15"/>
  <c r="J34" i="15"/>
  <c r="I44" i="15"/>
  <c r="N21" i="15"/>
  <c r="I23" i="10" l="1"/>
  <c r="G14" i="10"/>
  <c r="G28" i="10"/>
  <c r="G20" i="10"/>
  <c r="I27" i="10"/>
  <c r="I22" i="10"/>
  <c r="G22" i="10"/>
  <c r="G21" i="10"/>
  <c r="J14" i="10"/>
  <c r="J23" i="10"/>
  <c r="E22" i="10"/>
  <c r="E27" i="10"/>
  <c r="E23" i="10"/>
  <c r="E20" i="10"/>
  <c r="G62" i="15"/>
  <c r="G56" i="15"/>
  <c r="G25" i="15" s="1"/>
  <c r="G26" i="15" s="1"/>
  <c r="G63" i="15"/>
  <c r="E21" i="10"/>
  <c r="F21" i="10"/>
  <c r="F23" i="10"/>
  <c r="F27" i="10"/>
  <c r="F22" i="10"/>
  <c r="F20" i="10"/>
  <c r="V50" i="10"/>
  <c r="F28" i="10"/>
  <c r="G65" i="15"/>
  <c r="E14" i="10"/>
  <c r="F14" i="10"/>
  <c r="Y26" i="10"/>
  <c r="I15" i="10" s="1"/>
  <c r="I62" i="15"/>
  <c r="I64" i="15"/>
  <c r="I50" i="15"/>
  <c r="K34" i="15"/>
  <c r="E26" i="4"/>
  <c r="E25" i="15"/>
  <c r="I56" i="15"/>
  <c r="I25" i="15" s="1"/>
  <c r="I26" i="15"/>
  <c r="U25" i="10"/>
  <c r="X56" i="10"/>
  <c r="H50" i="15"/>
  <c r="H63" i="15"/>
  <c r="H62" i="15"/>
  <c r="H64" i="15"/>
  <c r="C25" i="15"/>
  <c r="C26" i="4"/>
  <c r="J35" i="15"/>
  <c r="I67" i="15"/>
  <c r="Z26" i="10"/>
  <c r="J15" i="10" s="1"/>
  <c r="G48" i="15"/>
  <c r="G70" i="15"/>
  <c r="G69" i="15"/>
  <c r="H65" i="15"/>
  <c r="O21" i="15"/>
  <c r="K20" i="15"/>
  <c r="J19" i="15"/>
  <c r="J66" i="15"/>
  <c r="K17" i="15"/>
  <c r="J68" i="15"/>
  <c r="K11" i="15"/>
  <c r="W25" i="10"/>
  <c r="W26" i="10" s="1"/>
  <c r="W48" i="10" s="1"/>
  <c r="D53" i="4"/>
  <c r="C58" i="15"/>
  <c r="V25" i="10"/>
  <c r="I65" i="15"/>
  <c r="J12" i="15"/>
  <c r="J14" i="15" s="1"/>
  <c r="I63" i="15"/>
  <c r="H56" i="15"/>
  <c r="H25" i="15" s="1"/>
  <c r="H26" i="15" s="1"/>
  <c r="I12" i="10" l="1"/>
  <c r="Y48" i="10"/>
  <c r="H48" i="15"/>
  <c r="H70" i="15"/>
  <c r="H69" i="15"/>
  <c r="K12" i="15"/>
  <c r="K14" i="15" s="1"/>
  <c r="V26" i="10"/>
  <c r="L11" i="15"/>
  <c r="K68" i="15"/>
  <c r="L17" i="15"/>
  <c r="P21" i="15"/>
  <c r="C48" i="4"/>
  <c r="C48" i="15" s="1"/>
  <c r="C26" i="15"/>
  <c r="E26" i="15"/>
  <c r="E48" i="4"/>
  <c r="E48" i="15" s="1"/>
  <c r="L34" i="15"/>
  <c r="G12" i="10"/>
  <c r="D55" i="4"/>
  <c r="D55" i="15" s="1"/>
  <c r="D57" i="4"/>
  <c r="D57" i="15" s="1"/>
  <c r="D53" i="15"/>
  <c r="L20" i="15"/>
  <c r="K19" i="15"/>
  <c r="K66" i="15"/>
  <c r="J12" i="10"/>
  <c r="Z48" i="10"/>
  <c r="K35" i="15"/>
  <c r="K44" i="15" s="1"/>
  <c r="J67" i="15"/>
  <c r="X25" i="10"/>
  <c r="U26" i="10"/>
  <c r="I48" i="15"/>
  <c r="I70" i="15"/>
  <c r="I69" i="15"/>
  <c r="G15" i="10"/>
  <c r="J33" i="15"/>
  <c r="J44" i="15"/>
  <c r="J65" i="15" s="1"/>
  <c r="D58" i="4" l="1"/>
  <c r="E53" i="4" s="1"/>
  <c r="K64" i="15"/>
  <c r="K62" i="15"/>
  <c r="K50" i="15"/>
  <c r="K63" i="15"/>
  <c r="U48" i="10"/>
  <c r="E12" i="10"/>
  <c r="M20" i="15"/>
  <c r="L66" i="15"/>
  <c r="L19" i="15"/>
  <c r="D58" i="15"/>
  <c r="M34" i="15"/>
  <c r="E70" i="15"/>
  <c r="E69" i="15"/>
  <c r="F12" i="10"/>
  <c r="V48" i="10"/>
  <c r="J56" i="15"/>
  <c r="J25" i="15" s="1"/>
  <c r="J26" i="15" s="1"/>
  <c r="J50" i="15"/>
  <c r="J62" i="15"/>
  <c r="J64" i="15"/>
  <c r="J63" i="15"/>
  <c r="X26" i="10"/>
  <c r="L35" i="15"/>
  <c r="L44" i="15" s="1"/>
  <c r="K67" i="15"/>
  <c r="K56" i="15"/>
  <c r="K25" i="15" s="1"/>
  <c r="K26" i="15" s="1"/>
  <c r="C69" i="15"/>
  <c r="C70" i="15"/>
  <c r="L68" i="15"/>
  <c r="M17" i="15"/>
  <c r="M11" i="15"/>
  <c r="L12" i="15"/>
  <c r="K65" i="15"/>
  <c r="E15" i="10"/>
  <c r="K33" i="15"/>
  <c r="F15" i="10"/>
  <c r="M12" i="15" l="1"/>
  <c r="M14" i="15" s="1"/>
  <c r="L65" i="15"/>
  <c r="N11" i="15"/>
  <c r="M68" i="15"/>
  <c r="N17" i="15"/>
  <c r="K48" i="15"/>
  <c r="K70" i="15"/>
  <c r="K69" i="15"/>
  <c r="X48" i="10"/>
  <c r="H12" i="10"/>
  <c r="J69" i="15"/>
  <c r="J48" i="15"/>
  <c r="J70" i="15"/>
  <c r="N34" i="15"/>
  <c r="L50" i="15"/>
  <c r="L64" i="15"/>
  <c r="L62" i="15"/>
  <c r="M35" i="15"/>
  <c r="L67" i="15"/>
  <c r="E53" i="15"/>
  <c r="T53" i="10"/>
  <c r="E55" i="4"/>
  <c r="E55" i="15" s="1"/>
  <c r="E57" i="4"/>
  <c r="E57" i="15" s="1"/>
  <c r="M66" i="15"/>
  <c r="M19" i="15"/>
  <c r="N20" i="15"/>
  <c r="L63" i="15"/>
  <c r="L14" i="15"/>
  <c r="L56" i="15" s="1"/>
  <c r="L25" i="15" s="1"/>
  <c r="L26" i="15" s="1"/>
  <c r="H15" i="10"/>
  <c r="L33" i="15"/>
  <c r="E58" i="4" l="1"/>
  <c r="E58" i="15" s="1"/>
  <c r="G53" i="15" s="1"/>
  <c r="G57" i="15" s="1"/>
  <c r="L69" i="15"/>
  <c r="L48" i="15"/>
  <c r="L70" i="15"/>
  <c r="N35" i="15"/>
  <c r="M67" i="15"/>
  <c r="O11" i="15"/>
  <c r="O20" i="15"/>
  <c r="N66" i="15"/>
  <c r="N19" i="15"/>
  <c r="T57" i="10"/>
  <c r="T55" i="10"/>
  <c r="N44" i="15"/>
  <c r="N33" i="15"/>
  <c r="O34" i="15"/>
  <c r="O17" i="15"/>
  <c r="N68" i="15"/>
  <c r="N12" i="15"/>
  <c r="M44" i="15"/>
  <c r="M56" i="15" s="1"/>
  <c r="M25" i="15" s="1"/>
  <c r="M26" i="15" s="1"/>
  <c r="M33" i="15"/>
  <c r="G55" i="15" l="1"/>
  <c r="G58" i="15" s="1"/>
  <c r="H53" i="15" s="1"/>
  <c r="T58" i="10"/>
  <c r="W53" i="10" s="1"/>
  <c r="M65" i="15"/>
  <c r="M48" i="15"/>
  <c r="M70" i="15"/>
  <c r="M69" i="15"/>
  <c r="P34" i="15"/>
  <c r="N50" i="15"/>
  <c r="N64" i="15"/>
  <c r="N62" i="15"/>
  <c r="V53" i="10"/>
  <c r="U53" i="10"/>
  <c r="P20" i="15"/>
  <c r="O19" i="15"/>
  <c r="O66" i="15"/>
  <c r="P11" i="15"/>
  <c r="M64" i="15"/>
  <c r="M62" i="15"/>
  <c r="M50" i="15"/>
  <c r="M63" i="15"/>
  <c r="O12" i="15"/>
  <c r="N65" i="15"/>
  <c r="P17" i="15"/>
  <c r="P68" i="15" s="1"/>
  <c r="O68" i="15"/>
  <c r="O35" i="15"/>
  <c r="N67" i="15"/>
  <c r="N63" i="15"/>
  <c r="N14" i="15"/>
  <c r="H55" i="15" l="1"/>
  <c r="H57" i="15"/>
  <c r="N56" i="15"/>
  <c r="N25" i="15" s="1"/>
  <c r="N26" i="15" s="1"/>
  <c r="P35" i="15"/>
  <c r="P67" i="15" s="1"/>
  <c r="O67" i="15"/>
  <c r="P12" i="15"/>
  <c r="P19" i="15"/>
  <c r="P66" i="15"/>
  <c r="U55" i="10"/>
  <c r="U57" i="10"/>
  <c r="E17" i="10"/>
  <c r="E19" i="10" s="1"/>
  <c r="W55" i="10"/>
  <c r="W57" i="10"/>
  <c r="W58" i="10" s="1"/>
  <c r="G13" i="10" s="1"/>
  <c r="G17" i="10"/>
  <c r="G19" i="10" s="1"/>
  <c r="V57" i="10"/>
  <c r="V55" i="10"/>
  <c r="F17" i="10"/>
  <c r="F19" i="10" s="1"/>
  <c r="P33" i="15"/>
  <c r="P44" i="15"/>
  <c r="O44" i="15"/>
  <c r="O14" i="15"/>
  <c r="O33" i="15"/>
  <c r="U58" i="10" l="1"/>
  <c r="E13" i="10" s="1"/>
  <c r="H58" i="15"/>
  <c r="V58" i="10"/>
  <c r="F13" i="10" s="1"/>
  <c r="N69" i="15"/>
  <c r="N48" i="15"/>
  <c r="N70" i="15"/>
  <c r="P50" i="15"/>
  <c r="P64" i="15"/>
  <c r="P62" i="15"/>
  <c r="O62" i="15"/>
  <c r="O50" i="15"/>
  <c r="O64" i="15"/>
  <c r="O63" i="15"/>
  <c r="O56" i="15"/>
  <c r="O25" i="15" s="1"/>
  <c r="O26" i="15" s="1"/>
  <c r="P63" i="15"/>
  <c r="P65" i="15"/>
  <c r="P14" i="15"/>
  <c r="P56" i="15" s="1"/>
  <c r="P25" i="15" s="1"/>
  <c r="O65" i="15"/>
  <c r="X53" i="10" l="1"/>
  <c r="Z53" i="10"/>
  <c r="Y53" i="10"/>
  <c r="I53" i="15"/>
  <c r="O70" i="15"/>
  <c r="O48" i="15"/>
  <c r="O69" i="15"/>
  <c r="P26" i="15"/>
  <c r="X57" i="10" l="1"/>
  <c r="X55" i="10"/>
  <c r="H17" i="10"/>
  <c r="H19" i="10" s="1"/>
  <c r="I57" i="15"/>
  <c r="I55" i="15"/>
  <c r="I58" i="15" s="1"/>
  <c r="J53" i="15" s="1"/>
  <c r="J55" i="15" s="1"/>
  <c r="Y57" i="10"/>
  <c r="I17" i="10"/>
  <c r="I19" i="10" s="1"/>
  <c r="Y55" i="10"/>
  <c r="Z57" i="10"/>
  <c r="Z55" i="10"/>
  <c r="J17" i="10"/>
  <c r="J19" i="10" s="1"/>
  <c r="P70" i="15"/>
  <c r="P69" i="15"/>
  <c r="P48" i="15"/>
  <c r="J57" i="15" l="1"/>
  <c r="J58" i="15" s="1"/>
  <c r="K53" i="15" s="1"/>
  <c r="K55" i="15" s="1"/>
  <c r="Y58" i="10"/>
  <c r="I13" i="10" s="1"/>
  <c r="Z58" i="10"/>
  <c r="J13" i="10" s="1"/>
  <c r="X58" i="10"/>
  <c r="H13" i="10" s="1"/>
  <c r="K57" i="15" l="1"/>
  <c r="K58" i="15" s="1"/>
  <c r="L53" i="15" s="1"/>
  <c r="L55" i="15" s="1"/>
  <c r="L57" i="15" l="1"/>
  <c r="L58" i="15" s="1"/>
  <c r="M53" i="15" s="1"/>
  <c r="M55" i="15" s="1"/>
  <c r="M57" i="15" l="1"/>
  <c r="M58" i="15" s="1"/>
  <c r="N53" i="15" s="1"/>
  <c r="N55" i="15" l="1"/>
  <c r="N58" i="15" s="1"/>
  <c r="O53" i="15" s="1"/>
  <c r="O57" i="15" s="1"/>
  <c r="N57" i="15"/>
  <c r="O55" i="15" l="1"/>
  <c r="O58" i="15" s="1"/>
  <c r="P53" i="15" s="1"/>
  <c r="P55" i="15" l="1"/>
  <c r="P57" i="15"/>
  <c r="P58" i="15" s="1"/>
</calcChain>
</file>

<file path=xl/comments1.xml><?xml version="1.0" encoding="utf-8"?>
<comments xmlns="http://schemas.openxmlformats.org/spreadsheetml/2006/main">
  <authors>
    <author>Barry.Lawson</author>
    <author>Jutta R. Scott</author>
  </authors>
  <commentList>
    <comment ref="A5" authorId="0" shapeId="0">
      <text>
        <r>
          <rPr>
            <b/>
            <sz val="8"/>
            <color indexed="81"/>
            <rFont val="Tahoma"/>
            <family val="2"/>
          </rPr>
          <t>Barry.Lawson:</t>
        </r>
        <r>
          <rPr>
            <sz val="8"/>
            <color indexed="81"/>
            <rFont val="Tahoma"/>
            <family val="2"/>
          </rPr>
          <t xml:space="preserve">
See note at bottom of sheet
</t>
        </r>
      </text>
    </comment>
    <comment ref="C7" authorId="0" shapeId="0">
      <text>
        <r>
          <rPr>
            <b/>
            <sz val="8"/>
            <color indexed="81"/>
            <rFont val="Tahoma"/>
            <family val="2"/>
          </rPr>
          <t>Barry.Lawson:</t>
        </r>
        <r>
          <rPr>
            <sz val="8"/>
            <color indexed="81"/>
            <rFont val="Tahoma"/>
            <family val="2"/>
          </rPr>
          <t xml:space="preserve">
This column needs to be checked with actuals
</t>
        </r>
      </text>
    </comment>
    <comment ref="F7" authorId="0" shapeId="0">
      <text>
        <r>
          <rPr>
            <b/>
            <sz val="8"/>
            <color indexed="81"/>
            <rFont val="Tahoma"/>
            <family val="2"/>
          </rPr>
          <t>Barry.Lawson:</t>
        </r>
        <r>
          <rPr>
            <sz val="8"/>
            <color indexed="81"/>
            <rFont val="Tahoma"/>
            <family val="2"/>
          </rPr>
          <t xml:space="preserve">
It is assumed that the same growth rate applies throughout planning range.</t>
        </r>
      </text>
    </comment>
    <comment ref="F12" authorId="1" shapeId="0">
      <text>
        <r>
          <rPr>
            <b/>
            <sz val="8"/>
            <color indexed="81"/>
            <rFont val="Tahoma"/>
            <family val="2"/>
          </rPr>
          <t>Jutta R. Scott:</t>
        </r>
        <r>
          <rPr>
            <sz val="8"/>
            <color indexed="81"/>
            <rFont val="Tahoma"/>
            <family val="2"/>
          </rPr>
          <t xml:space="preserve">
Because  the ILMS grant raised the amount of Federal grants, we applied the 0.02 growth rate to the 2003 amount of federal grants</t>
        </r>
      </text>
    </comment>
    <comment ref="A16" authorId="0" shapeId="0">
      <text>
        <r>
          <rPr>
            <b/>
            <sz val="8"/>
            <color indexed="81"/>
            <rFont val="Tahoma"/>
            <family val="2"/>
          </rPr>
          <t>Barry.Lawson:</t>
        </r>
        <r>
          <rPr>
            <sz val="8"/>
            <color indexed="81"/>
            <rFont val="Tahoma"/>
            <family val="2"/>
          </rPr>
          <t xml:space="preserve">
General and Planetarium Admissions combined
</t>
        </r>
      </text>
    </comment>
    <comment ref="I16" authorId="0" shapeId="0">
      <text>
        <r>
          <rPr>
            <b/>
            <sz val="8"/>
            <color indexed="81"/>
            <rFont val="Tahoma"/>
            <family val="2"/>
          </rPr>
          <t>Barry.Lawson:</t>
        </r>
        <r>
          <rPr>
            <sz val="8"/>
            <color indexed="81"/>
            <rFont val="Tahoma"/>
            <family val="2"/>
          </rPr>
          <t xml:space="preserve">
General and Planetarium Admissions combined
</t>
        </r>
      </text>
    </comment>
    <comment ref="A17" authorId="0" shapeId="0">
      <text>
        <r>
          <rPr>
            <b/>
            <sz val="8"/>
            <color indexed="81"/>
            <rFont val="Tahoma"/>
            <family val="2"/>
          </rPr>
          <t>Barry.Lawson:</t>
        </r>
        <r>
          <rPr>
            <sz val="8"/>
            <color indexed="81"/>
            <rFont val="Tahoma"/>
            <family val="2"/>
          </rPr>
          <t xml:space="preserve">
This is essentially the Museum Shop and includes interest earned
</t>
        </r>
      </text>
    </comment>
    <comment ref="I17" authorId="0" shapeId="0">
      <text>
        <r>
          <rPr>
            <b/>
            <sz val="8"/>
            <color indexed="81"/>
            <rFont val="Tahoma"/>
            <family val="2"/>
          </rPr>
          <t>Barry.Lawson:</t>
        </r>
        <r>
          <rPr>
            <sz val="8"/>
            <color indexed="81"/>
            <rFont val="Tahoma"/>
            <family val="2"/>
          </rPr>
          <t xml:space="preserve">
This is essentially the Museum Shop and includes interest earned
</t>
        </r>
      </text>
    </comment>
    <comment ref="A18" authorId="0" shapeId="0">
      <text>
        <r>
          <rPr>
            <sz val="8"/>
            <color indexed="81"/>
            <rFont val="Tahoma"/>
            <family val="2"/>
          </rPr>
          <t xml:space="preserve">Barry Lawson: in 2005 - Pub. Programs, Events, Festival, Auction, Raffle, Ast. Camp, Annual Meeting, Research/reference, Other Revenues
</t>
        </r>
      </text>
    </comment>
    <comment ref="I18" authorId="0" shapeId="0">
      <text>
        <r>
          <rPr>
            <sz val="8"/>
            <color indexed="81"/>
            <rFont val="Tahoma"/>
            <family val="2"/>
          </rPr>
          <t xml:space="preserve">Barry Lawson: in 2005 - Pub. Programs, Events, Festival, Auction, Raffle, Ast. Camp, Annual Meeting, Research/reference, Other Revenues
</t>
        </r>
      </text>
    </comment>
    <comment ref="A21"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I21"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F22" authorId="1" shapeId="0">
      <text>
        <r>
          <rPr>
            <b/>
            <sz val="8"/>
            <color indexed="81"/>
            <rFont val="Tahoma"/>
            <family val="2"/>
          </rPr>
          <t>Jutta R. Scott:</t>
        </r>
        <r>
          <rPr>
            <sz val="8"/>
            <color indexed="81"/>
            <rFont val="Tahoma"/>
            <family val="2"/>
          </rPr>
          <t xml:space="preserve">
The assumption is that the Annual Fund will not grow during the Capital Campaign</t>
        </r>
      </text>
    </comment>
    <comment ref="A24" authorId="0" shapeId="0">
      <text>
        <r>
          <rPr>
            <b/>
            <sz val="8"/>
            <color indexed="81"/>
            <rFont val="Tahoma"/>
            <family val="2"/>
          </rPr>
          <t>Barry.Lawson:</t>
        </r>
        <r>
          <rPr>
            <sz val="8"/>
            <color indexed="81"/>
            <rFont val="Tahoma"/>
            <family val="2"/>
          </rPr>
          <t xml:space="preserve">
Need to ch
eck with CB on this number
</t>
        </r>
      </text>
    </comment>
    <comment ref="I24" authorId="0" shapeId="0">
      <text>
        <r>
          <rPr>
            <b/>
            <sz val="8"/>
            <color indexed="81"/>
            <rFont val="Tahoma"/>
            <family val="2"/>
          </rPr>
          <t>Barry.Lawson:</t>
        </r>
        <r>
          <rPr>
            <sz val="8"/>
            <color indexed="81"/>
            <rFont val="Tahoma"/>
            <family val="2"/>
          </rPr>
          <t xml:space="preserve">
Includes restrivcted and unrestricted gifts plus 'other revenue'
</t>
        </r>
      </text>
    </comment>
    <comment ref="A35"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I35"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A37" authorId="0" shapeId="0">
      <text>
        <r>
          <rPr>
            <b/>
            <sz val="8"/>
            <color indexed="81"/>
            <rFont val="Tahoma"/>
            <family val="2"/>
          </rPr>
          <t>Barry.Lawson:</t>
        </r>
        <r>
          <rPr>
            <sz val="8"/>
            <color indexed="81"/>
            <rFont val="Tahoma"/>
            <family val="2"/>
          </rPr>
          <t xml:space="preserve">
Collections, Kitchel and IMLS Care of History</t>
        </r>
      </text>
    </comment>
    <comment ref="I37" authorId="0" shapeId="0">
      <text>
        <r>
          <rPr>
            <b/>
            <sz val="8"/>
            <color indexed="81"/>
            <rFont val="Tahoma"/>
            <family val="2"/>
          </rPr>
          <t>Barry.Lawson:</t>
        </r>
        <r>
          <rPr>
            <sz val="8"/>
            <color indexed="81"/>
            <rFont val="Tahoma"/>
            <family val="2"/>
          </rPr>
          <t xml:space="preserve">
Collections, Kitchel and IMLS Care of History</t>
        </r>
      </text>
    </comment>
    <comment ref="A38" authorId="0" shapeId="0">
      <text>
        <r>
          <rPr>
            <b/>
            <sz val="8"/>
            <color indexed="81"/>
            <rFont val="Tahoma"/>
            <family val="2"/>
          </rPr>
          <t>Barry.Lawson:</t>
        </r>
        <r>
          <rPr>
            <sz val="8"/>
            <color indexed="81"/>
            <rFont val="Tahoma"/>
            <family val="2"/>
          </rPr>
          <t xml:space="preserve">
Planetarium, astronomy Camp, Monthly Program, Nature Center, Community Archives, Radon, and No. Forest Curriculum, Festival</t>
        </r>
      </text>
    </comment>
    <comment ref="I38" authorId="0" shapeId="0">
      <text>
        <r>
          <rPr>
            <b/>
            <sz val="8"/>
            <color indexed="81"/>
            <rFont val="Tahoma"/>
            <family val="2"/>
          </rPr>
          <t>Barry.Lawson:</t>
        </r>
        <r>
          <rPr>
            <sz val="8"/>
            <color indexed="81"/>
            <rFont val="Tahoma"/>
            <family val="2"/>
          </rPr>
          <t xml:space="preserve">
Planetarium, astronomy Camp, Monthly Program, Nature Center, Community Archives, Radon, and No. Forest Curriculum</t>
        </r>
      </text>
    </comment>
    <comment ref="A39" authorId="0" shapeId="0">
      <text>
        <r>
          <rPr>
            <b/>
            <sz val="8"/>
            <color indexed="81"/>
            <rFont val="Tahoma"/>
            <family val="2"/>
          </rPr>
          <t>Barry.Lawson:</t>
        </r>
        <r>
          <rPr>
            <sz val="8"/>
            <color indexed="81"/>
            <rFont val="Tahoma"/>
            <family val="2"/>
          </rPr>
          <t xml:space="preserve">
Special Exhibitions, Permanent Exhibits, Master Exhibit Plan</t>
        </r>
      </text>
    </comment>
    <comment ref="I39" authorId="0" shapeId="0">
      <text>
        <r>
          <rPr>
            <b/>
            <sz val="8"/>
            <color indexed="81"/>
            <rFont val="Tahoma"/>
            <family val="2"/>
          </rPr>
          <t>Barry.Lawson:</t>
        </r>
        <r>
          <rPr>
            <sz val="8"/>
            <color indexed="81"/>
            <rFont val="Tahoma"/>
            <family val="2"/>
          </rPr>
          <t xml:space="preserve">
Special Exhibitions, Permanent Exhibits, Master Exhibit Plan</t>
        </r>
      </text>
    </comment>
    <comment ref="A40" authorId="0" shapeId="0">
      <text>
        <r>
          <rPr>
            <b/>
            <sz val="8"/>
            <color indexed="81"/>
            <rFont val="Tahoma"/>
            <family val="2"/>
          </rPr>
          <t>Barry.Lawson:</t>
        </r>
        <r>
          <rPr>
            <sz val="8"/>
            <color indexed="81"/>
            <rFont val="Tahoma"/>
            <family val="2"/>
          </rPr>
          <t xml:space="preserve">
Auction, Annual Meeting, Visitor and Volunteer Services</t>
        </r>
      </text>
    </comment>
    <comment ref="I40" authorId="0" shapeId="0">
      <text>
        <r>
          <rPr>
            <b/>
            <sz val="8"/>
            <color indexed="81"/>
            <rFont val="Tahoma"/>
            <family val="2"/>
          </rPr>
          <t>Barry.Lawson:</t>
        </r>
        <r>
          <rPr>
            <sz val="8"/>
            <color indexed="81"/>
            <rFont val="Tahoma"/>
            <family val="2"/>
          </rPr>
          <t xml:space="preserve">
Festival, Auction, Annual Meeting, Visitor and Volunteer Services</t>
        </r>
      </text>
    </comment>
    <comment ref="A41" authorId="0" shapeId="0">
      <text>
        <r>
          <rPr>
            <b/>
            <sz val="8"/>
            <color indexed="81"/>
            <rFont val="Tahoma"/>
            <family val="2"/>
          </rPr>
          <t>Barry.Lawson:</t>
        </r>
        <r>
          <rPr>
            <sz val="8"/>
            <color indexed="81"/>
            <rFont val="Tahoma"/>
            <family val="2"/>
          </rPr>
          <t xml:space="preserve">
BIG, Vehicles, Off-site Facilities</t>
        </r>
      </text>
    </comment>
    <comment ref="I41" authorId="0" shapeId="0">
      <text>
        <r>
          <rPr>
            <b/>
            <sz val="8"/>
            <color indexed="81"/>
            <rFont val="Tahoma"/>
            <family val="2"/>
          </rPr>
          <t>Barry.Lawson:</t>
        </r>
        <r>
          <rPr>
            <sz val="8"/>
            <color indexed="81"/>
            <rFont val="Tahoma"/>
            <family val="2"/>
          </rPr>
          <t xml:space="preserve">
BIG, Vehicles, Off-site Facilities</t>
        </r>
      </text>
    </comment>
    <comment ref="A45" authorId="0" shapeId="0">
      <text>
        <r>
          <rPr>
            <b/>
            <sz val="8"/>
            <color indexed="81"/>
            <rFont val="Tahoma"/>
            <family val="2"/>
          </rPr>
          <t>Barry.Lawson:</t>
        </r>
        <r>
          <rPr>
            <sz val="8"/>
            <color indexed="81"/>
            <rFont val="Tahoma"/>
            <family val="2"/>
          </rPr>
          <t xml:space="preserve">
Expenses, including monthly, related to acquisition of Montgomery House</t>
        </r>
      </text>
    </comment>
    <comment ref="I45" authorId="0" shapeId="0">
      <text>
        <r>
          <rPr>
            <b/>
            <sz val="8"/>
            <color indexed="81"/>
            <rFont val="Tahoma"/>
            <family val="2"/>
          </rPr>
          <t>Barry.Lawson:</t>
        </r>
        <r>
          <rPr>
            <sz val="8"/>
            <color indexed="81"/>
            <rFont val="Tahoma"/>
            <family val="2"/>
          </rPr>
          <t xml:space="preserve">
Expenses, including monthly, related to acquisition of Montgomery House</t>
        </r>
      </text>
    </comment>
    <comment ref="A57" authorId="0" shapeId="0">
      <text>
        <r>
          <rPr>
            <b/>
            <sz val="8"/>
            <color indexed="81"/>
            <rFont val="Tahoma"/>
            <family val="2"/>
          </rPr>
          <t>Barry.Lawson:</t>
        </r>
        <r>
          <rPr>
            <sz val="8"/>
            <color indexed="81"/>
            <rFont val="Tahoma"/>
            <family val="2"/>
          </rPr>
          <t xml:space="preserve">
Needs to be included!</t>
        </r>
      </text>
    </comment>
    <comment ref="U58" authorId="0" shapeId="0">
      <text>
        <r>
          <rPr>
            <b/>
            <sz val="8"/>
            <color indexed="81"/>
            <rFont val="Tahoma"/>
            <family val="2"/>
          </rPr>
          <t>Barry.Lawson:</t>
        </r>
        <r>
          <rPr>
            <sz val="8"/>
            <color indexed="81"/>
            <rFont val="Tahoma"/>
            <family val="2"/>
          </rPr>
          <t xml:space="preserve">
Needs to be included!</t>
        </r>
      </text>
    </comment>
    <comment ref="D64" authorId="0" shapeId="0">
      <text>
        <r>
          <rPr>
            <b/>
            <sz val="8"/>
            <color indexed="81"/>
            <rFont val="Tahoma"/>
            <family val="2"/>
          </rPr>
          <t>Barry.Lawson:</t>
        </r>
        <r>
          <rPr>
            <sz val="8"/>
            <color indexed="81"/>
            <rFont val="Tahoma"/>
            <family val="2"/>
          </rPr>
          <t xml:space="preserve">
these next six rows (cells) provide a place to fine-tune assumptions - but they have not yet been incorporated into the model (an option.</t>
        </r>
      </text>
    </comment>
    <comment ref="A73" authorId="0" shapeId="0">
      <text>
        <r>
          <rPr>
            <b/>
            <sz val="8"/>
            <color indexed="81"/>
            <rFont val="Tahoma"/>
            <family val="2"/>
          </rPr>
          <t>Barry.Lawson:</t>
        </r>
        <r>
          <rPr>
            <sz val="8"/>
            <color indexed="81"/>
            <rFont val="Tahoma"/>
            <family val="2"/>
          </rPr>
          <t xml:space="preserve">
These symbols indicate a specific comment on the cell entry
</t>
        </r>
      </text>
    </comment>
    <comment ref="I73" authorId="0" shapeId="0">
      <text>
        <r>
          <rPr>
            <b/>
            <sz val="8"/>
            <color indexed="81"/>
            <rFont val="Tahoma"/>
            <family val="2"/>
          </rPr>
          <t>Barry.Lawson:</t>
        </r>
        <r>
          <rPr>
            <sz val="8"/>
            <color indexed="81"/>
            <rFont val="Tahoma"/>
            <family val="2"/>
          </rPr>
          <t xml:space="preserve">
These symbols indicate a specific comment on the cell entry
</t>
        </r>
      </text>
    </comment>
  </commentList>
</comments>
</file>

<file path=xl/comments2.xml><?xml version="1.0" encoding="utf-8"?>
<comments xmlns="http://schemas.openxmlformats.org/spreadsheetml/2006/main">
  <authors>
    <author>Barry.Lawson</author>
  </authors>
  <commentList>
    <comment ref="C7" authorId="0" shapeId="0">
      <text>
        <r>
          <rPr>
            <b/>
            <sz val="8"/>
            <color indexed="81"/>
            <rFont val="Tahoma"/>
            <family val="2"/>
          </rPr>
          <t>Barry.Lawson:</t>
        </r>
        <r>
          <rPr>
            <sz val="8"/>
            <color indexed="81"/>
            <rFont val="Tahoma"/>
            <family val="2"/>
          </rPr>
          <t xml:space="preserve">
Needs to be updated with actuals
</t>
        </r>
      </text>
    </comment>
    <comment ref="F7" authorId="0" shapeId="0">
      <text>
        <r>
          <rPr>
            <b/>
            <sz val="8"/>
            <color indexed="81"/>
            <rFont val="Tahoma"/>
            <family val="2"/>
          </rPr>
          <t>Barry.Lawson:</t>
        </r>
        <r>
          <rPr>
            <sz val="8"/>
            <color indexed="81"/>
            <rFont val="Tahoma"/>
            <family val="2"/>
          </rPr>
          <t xml:space="preserve">
To be reviewed by Museum staff
</t>
        </r>
      </text>
    </comment>
    <comment ref="A17" authorId="0" shapeId="0">
      <text>
        <r>
          <rPr>
            <b/>
            <sz val="8"/>
            <color indexed="81"/>
            <rFont val="Tahoma"/>
            <family val="2"/>
          </rPr>
          <t>Barry.Lawson:</t>
        </r>
        <r>
          <rPr>
            <sz val="8"/>
            <color indexed="81"/>
            <rFont val="Tahoma"/>
            <family val="2"/>
          </rPr>
          <t xml:space="preserve">
This is essentially the Museum Shop and includes interest earned
</t>
        </r>
      </text>
    </comment>
    <comment ref="A21"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A29" authorId="0" shapeId="0">
      <text>
        <r>
          <rPr>
            <b/>
            <sz val="8"/>
            <color indexed="81"/>
            <rFont val="Tahoma"/>
            <family val="2"/>
          </rPr>
          <t>Barry.Lawson:</t>
        </r>
        <r>
          <rPr>
            <sz val="8"/>
            <color indexed="81"/>
            <rFont val="Tahoma"/>
            <family val="2"/>
          </rPr>
          <t xml:space="preserve">
Figures in red area do not count toward totals
</t>
        </r>
      </text>
    </comment>
    <comment ref="A35"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A37" authorId="0" shapeId="0">
      <text>
        <r>
          <rPr>
            <b/>
            <sz val="8"/>
            <color indexed="81"/>
            <rFont val="Tahoma"/>
            <family val="2"/>
          </rPr>
          <t>Barry.Lawson:</t>
        </r>
        <r>
          <rPr>
            <sz val="8"/>
            <color indexed="81"/>
            <rFont val="Tahoma"/>
            <family val="2"/>
          </rPr>
          <t xml:space="preserve">
Collections, Kitchel and IMLS Care of History</t>
        </r>
      </text>
    </comment>
    <comment ref="A38" authorId="0" shapeId="0">
      <text>
        <r>
          <rPr>
            <b/>
            <sz val="8"/>
            <color indexed="81"/>
            <rFont val="Tahoma"/>
            <family val="2"/>
          </rPr>
          <t>Barry.Lawson:</t>
        </r>
        <r>
          <rPr>
            <sz val="8"/>
            <color indexed="81"/>
            <rFont val="Tahoma"/>
            <family val="2"/>
          </rPr>
          <t xml:space="preserve">
Planetarium, astronomy Camp, Monthly Program, Nature Center, Community Archives, Radon, and No. Forest Curfriculum</t>
        </r>
      </text>
    </comment>
    <comment ref="A39" authorId="0" shapeId="0">
      <text>
        <r>
          <rPr>
            <b/>
            <sz val="8"/>
            <color indexed="81"/>
            <rFont val="Tahoma"/>
            <family val="2"/>
          </rPr>
          <t>Barry.Lawson:</t>
        </r>
        <r>
          <rPr>
            <sz val="8"/>
            <color indexed="81"/>
            <rFont val="Tahoma"/>
            <family val="2"/>
          </rPr>
          <t xml:space="preserve">
Special Exhibitions, Permanent Exhibits, Master Exhibit Plan</t>
        </r>
      </text>
    </comment>
    <comment ref="A40" authorId="0" shapeId="0">
      <text>
        <r>
          <rPr>
            <b/>
            <sz val="8"/>
            <color indexed="81"/>
            <rFont val="Tahoma"/>
            <family val="2"/>
          </rPr>
          <t>Barry.Lawson:</t>
        </r>
        <r>
          <rPr>
            <sz val="8"/>
            <color indexed="81"/>
            <rFont val="Tahoma"/>
            <family val="2"/>
          </rPr>
          <t xml:space="preserve">
Festival, Auction, Annual Meeting, Visitor and Volunteer Services</t>
        </r>
      </text>
    </comment>
    <comment ref="A57" authorId="0" shapeId="0">
      <text>
        <r>
          <rPr>
            <b/>
            <sz val="8"/>
            <color indexed="81"/>
            <rFont val="Tahoma"/>
            <family val="2"/>
          </rPr>
          <t>Barry.Lawson:</t>
        </r>
        <r>
          <rPr>
            <sz val="8"/>
            <color indexed="81"/>
            <rFont val="Tahoma"/>
            <family val="2"/>
          </rPr>
          <t xml:space="preserve">
Neds to be included!</t>
        </r>
      </text>
    </comment>
  </commentList>
</comments>
</file>

<file path=xl/comments3.xml><?xml version="1.0" encoding="utf-8"?>
<comments xmlns="http://schemas.openxmlformats.org/spreadsheetml/2006/main">
  <authors>
    <author>Barry.Lawson</author>
  </authors>
  <commentList>
    <comment ref="L16" authorId="0" shapeId="0">
      <text>
        <r>
          <rPr>
            <b/>
            <sz val="8"/>
            <color indexed="81"/>
            <rFont val="Tahoma"/>
            <family val="2"/>
          </rPr>
          <t>Barry.Lawson:</t>
        </r>
        <r>
          <rPr>
            <sz val="8"/>
            <color indexed="81"/>
            <rFont val="Tahoma"/>
            <family val="2"/>
          </rPr>
          <t xml:space="preserve">
General and Planetarium Admissions combined
</t>
        </r>
      </text>
    </comment>
    <comment ref="L17" authorId="0" shapeId="0">
      <text>
        <r>
          <rPr>
            <b/>
            <sz val="8"/>
            <color indexed="81"/>
            <rFont val="Tahoma"/>
            <family val="2"/>
          </rPr>
          <t>Barry.Lawson:</t>
        </r>
        <r>
          <rPr>
            <sz val="8"/>
            <color indexed="81"/>
            <rFont val="Tahoma"/>
            <family val="2"/>
          </rPr>
          <t xml:space="preserve">
This is essentially the Museum Shop and includes interest earned
</t>
        </r>
      </text>
    </comment>
    <comment ref="L18" authorId="0" shapeId="0">
      <text>
        <r>
          <rPr>
            <sz val="8"/>
            <color indexed="81"/>
            <rFont val="Tahoma"/>
            <family val="2"/>
          </rPr>
          <t xml:space="preserve">Barry Lawson: in 2005 - Pub. Programs, Events, Festival, Auction, Raffle, Ast. Camp, Annual Meeting, Research/reference, Other Revenues
</t>
        </r>
      </text>
    </comment>
    <comment ref="L21"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L24" authorId="0" shapeId="0">
      <text>
        <r>
          <rPr>
            <b/>
            <sz val="8"/>
            <color indexed="81"/>
            <rFont val="Tahoma"/>
            <family val="2"/>
          </rPr>
          <t>Barry.Lawson:</t>
        </r>
        <r>
          <rPr>
            <sz val="8"/>
            <color indexed="81"/>
            <rFont val="Tahoma"/>
            <family val="2"/>
          </rPr>
          <t xml:space="preserve">
Need to ch
eck with CB on this number
</t>
        </r>
      </text>
    </comment>
    <comment ref="L35"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L37" authorId="0" shapeId="0">
      <text>
        <r>
          <rPr>
            <b/>
            <sz val="8"/>
            <color indexed="81"/>
            <rFont val="Tahoma"/>
            <family val="2"/>
          </rPr>
          <t>Barry.Lawson:</t>
        </r>
        <r>
          <rPr>
            <sz val="8"/>
            <color indexed="81"/>
            <rFont val="Tahoma"/>
            <family val="2"/>
          </rPr>
          <t xml:space="preserve">
Collections, Kitchel and IMLS Care of History</t>
        </r>
      </text>
    </comment>
    <comment ref="L38" authorId="0" shapeId="0">
      <text>
        <r>
          <rPr>
            <b/>
            <sz val="8"/>
            <color indexed="81"/>
            <rFont val="Tahoma"/>
            <family val="2"/>
          </rPr>
          <t>Barry.Lawson:</t>
        </r>
        <r>
          <rPr>
            <sz val="8"/>
            <color indexed="81"/>
            <rFont val="Tahoma"/>
            <family val="2"/>
          </rPr>
          <t xml:space="preserve">
Planetarium, astronomy Camp, Monthly Program, Nature Center, Community Archives, Radon, and No. Forest Curriculum</t>
        </r>
      </text>
    </comment>
    <comment ref="L39" authorId="0" shapeId="0">
      <text>
        <r>
          <rPr>
            <b/>
            <sz val="8"/>
            <color indexed="81"/>
            <rFont val="Tahoma"/>
            <family val="2"/>
          </rPr>
          <t>Barry.Lawson:</t>
        </r>
        <r>
          <rPr>
            <sz val="8"/>
            <color indexed="81"/>
            <rFont val="Tahoma"/>
            <family val="2"/>
          </rPr>
          <t xml:space="preserve">
Special Exhibitions, Permanent Exhibits, Master Exhibit Plan</t>
        </r>
      </text>
    </comment>
    <comment ref="L40" authorId="0" shapeId="0">
      <text>
        <r>
          <rPr>
            <b/>
            <sz val="8"/>
            <color indexed="81"/>
            <rFont val="Tahoma"/>
            <family val="2"/>
          </rPr>
          <t>Barry.Lawson:</t>
        </r>
        <r>
          <rPr>
            <sz val="8"/>
            <color indexed="81"/>
            <rFont val="Tahoma"/>
            <family val="2"/>
          </rPr>
          <t xml:space="preserve">
Festival, Auction, Annual Meeting, Visitor and Volunteer Services</t>
        </r>
      </text>
    </comment>
    <comment ref="L41" authorId="0" shapeId="0">
      <text>
        <r>
          <rPr>
            <b/>
            <sz val="8"/>
            <color indexed="81"/>
            <rFont val="Tahoma"/>
            <family val="2"/>
          </rPr>
          <t>Barry.Lawson:</t>
        </r>
        <r>
          <rPr>
            <sz val="8"/>
            <color indexed="81"/>
            <rFont val="Tahoma"/>
            <family val="2"/>
          </rPr>
          <t xml:space="preserve">
BIG, Vehicles, Off-site Facilities</t>
        </r>
      </text>
    </comment>
    <comment ref="L45" authorId="0" shapeId="0">
      <text>
        <r>
          <rPr>
            <b/>
            <sz val="8"/>
            <color indexed="81"/>
            <rFont val="Tahoma"/>
            <family val="2"/>
          </rPr>
          <t>Barry.Lawson:</t>
        </r>
        <r>
          <rPr>
            <sz val="8"/>
            <color indexed="81"/>
            <rFont val="Tahoma"/>
            <family val="2"/>
          </rPr>
          <t xml:space="preserve">
Expenses, including monthly, related to acquisition of Montgomery House</t>
        </r>
      </text>
    </comment>
    <comment ref="U53" authorId="0" shapeId="0">
      <text>
        <r>
          <rPr>
            <b/>
            <sz val="8"/>
            <color indexed="81"/>
            <rFont val="Tahoma"/>
            <family val="2"/>
          </rPr>
          <t>Barry.Lawson:</t>
        </r>
        <r>
          <rPr>
            <sz val="8"/>
            <color indexed="81"/>
            <rFont val="Tahoma"/>
            <family val="2"/>
          </rPr>
          <t xml:space="preserve">
For the three first year scenarios, we assume the endowment at the beginning of the year is the same</t>
        </r>
      </text>
    </comment>
    <comment ref="X53" authorId="0" shapeId="0">
      <text>
        <r>
          <rPr>
            <b/>
            <sz val="8"/>
            <color indexed="81"/>
            <rFont val="Tahoma"/>
            <family val="2"/>
          </rPr>
          <t>Barry.Lawson:</t>
        </r>
        <r>
          <rPr>
            <sz val="8"/>
            <color indexed="81"/>
            <rFont val="Tahoma"/>
            <family val="2"/>
          </rPr>
          <t xml:space="preserve">
For the third year we assume that the endowment for the beginning of the year is the same as it would for the model for each of the three options.</t>
        </r>
      </text>
    </comment>
    <comment ref="L57" authorId="0" shapeId="0">
      <text>
        <r>
          <rPr>
            <b/>
            <sz val="8"/>
            <color indexed="81"/>
            <rFont val="Tahoma"/>
            <family val="2"/>
          </rPr>
          <t>Barry.Lawson:</t>
        </r>
        <r>
          <rPr>
            <sz val="8"/>
            <color indexed="81"/>
            <rFont val="Tahoma"/>
            <family val="2"/>
          </rPr>
          <t xml:space="preserve">
Needs to be included!</t>
        </r>
      </text>
    </comment>
  </commentList>
</comments>
</file>

<file path=xl/comments4.xml><?xml version="1.0" encoding="utf-8"?>
<comments xmlns="http://schemas.openxmlformats.org/spreadsheetml/2006/main">
  <authors>
    <author>Barry.Lawson</author>
  </authors>
  <commentList>
    <comment ref="C7" authorId="0" shapeId="0">
      <text>
        <r>
          <rPr>
            <b/>
            <sz val="8"/>
            <color indexed="81"/>
            <rFont val="Tahoma"/>
            <family val="2"/>
          </rPr>
          <t>Barry.Lawson:</t>
        </r>
        <r>
          <rPr>
            <sz val="8"/>
            <color indexed="81"/>
            <rFont val="Tahoma"/>
            <family val="2"/>
          </rPr>
          <t xml:space="preserve">
This column has been updated with actual figures from 2004
</t>
        </r>
      </text>
    </comment>
    <comment ref="A17" authorId="0" shapeId="0">
      <text>
        <r>
          <rPr>
            <b/>
            <sz val="8"/>
            <color indexed="81"/>
            <rFont val="Tahoma"/>
            <family val="2"/>
          </rPr>
          <t>Barry.Lawson:</t>
        </r>
        <r>
          <rPr>
            <sz val="8"/>
            <color indexed="81"/>
            <rFont val="Tahoma"/>
            <family val="2"/>
          </rPr>
          <t xml:space="preserve">
This is essentially the Museum Shop and includes interest earned
</t>
        </r>
      </text>
    </comment>
    <comment ref="A18" authorId="0" shapeId="0">
      <text>
        <r>
          <rPr>
            <sz val="8"/>
            <color indexed="81"/>
            <rFont val="Tahoma"/>
            <family val="2"/>
          </rPr>
          <t xml:space="preserve">Barry Lawson: in 2005 - Pub. Programs, Events, Festival, Auction, Raffle, Ast. Camp, Research/reference, Other
</t>
        </r>
      </text>
    </comment>
    <comment ref="A21"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A35" authorId="0" shapeId="0">
      <text>
        <r>
          <rPr>
            <b/>
            <sz val="8"/>
            <color indexed="81"/>
            <rFont val="Tahoma"/>
            <family val="2"/>
          </rPr>
          <t xml:space="preserve">Barry.Lawson: </t>
        </r>
        <r>
          <rPr>
            <sz val="8"/>
            <color indexed="81"/>
            <rFont val="Tahoma"/>
            <family val="2"/>
          </rPr>
          <t xml:space="preserve">
This includes both categories of school programs</t>
        </r>
      </text>
    </comment>
    <comment ref="A37" authorId="0" shapeId="0">
      <text>
        <r>
          <rPr>
            <b/>
            <sz val="8"/>
            <color indexed="81"/>
            <rFont val="Tahoma"/>
            <family val="2"/>
          </rPr>
          <t>Barry.Lawson:</t>
        </r>
        <r>
          <rPr>
            <sz val="8"/>
            <color indexed="81"/>
            <rFont val="Tahoma"/>
            <family val="2"/>
          </rPr>
          <t xml:space="preserve">
Collections, Kitchel and IMLS Care of History</t>
        </r>
      </text>
    </comment>
    <comment ref="A38" authorId="0" shapeId="0">
      <text>
        <r>
          <rPr>
            <b/>
            <sz val="8"/>
            <color indexed="81"/>
            <rFont val="Tahoma"/>
            <family val="2"/>
          </rPr>
          <t>Barry.Lawson:</t>
        </r>
        <r>
          <rPr>
            <sz val="8"/>
            <color indexed="81"/>
            <rFont val="Tahoma"/>
            <family val="2"/>
          </rPr>
          <t xml:space="preserve">
Planetarium, astronomy Camp, Monthly Program, Nature Center, Community Archives, Radon, and No. Forest Curfriculum</t>
        </r>
      </text>
    </comment>
    <comment ref="A39" authorId="0" shapeId="0">
      <text>
        <r>
          <rPr>
            <b/>
            <sz val="8"/>
            <color indexed="81"/>
            <rFont val="Tahoma"/>
            <family val="2"/>
          </rPr>
          <t>Barry.Lawson:</t>
        </r>
        <r>
          <rPr>
            <sz val="8"/>
            <color indexed="81"/>
            <rFont val="Tahoma"/>
            <family val="2"/>
          </rPr>
          <t xml:space="preserve">
Special Exhibitions, Permanent Exhibits, Master Exhibit Plan</t>
        </r>
      </text>
    </comment>
    <comment ref="A40" authorId="0" shapeId="0">
      <text>
        <r>
          <rPr>
            <b/>
            <sz val="8"/>
            <color indexed="81"/>
            <rFont val="Tahoma"/>
            <family val="2"/>
          </rPr>
          <t>Barry.Lawson:</t>
        </r>
        <r>
          <rPr>
            <sz val="8"/>
            <color indexed="81"/>
            <rFont val="Tahoma"/>
            <family val="2"/>
          </rPr>
          <t xml:space="preserve">
Festival, Auction, Annual Meeting, Visitor and Volunteer Services</t>
        </r>
      </text>
    </comment>
    <comment ref="A41" authorId="0" shapeId="0">
      <text>
        <r>
          <rPr>
            <b/>
            <sz val="8"/>
            <color indexed="81"/>
            <rFont val="Tahoma"/>
            <family val="2"/>
          </rPr>
          <t>Barry.Lawson:</t>
        </r>
        <r>
          <rPr>
            <sz val="8"/>
            <color indexed="81"/>
            <rFont val="Tahoma"/>
            <family val="2"/>
          </rPr>
          <t xml:space="preserve">
B&amp;G, Vehicles, Off-site Facilities</t>
        </r>
      </text>
    </comment>
    <comment ref="A45" authorId="0" shapeId="0">
      <text>
        <r>
          <rPr>
            <b/>
            <sz val="8"/>
            <color indexed="81"/>
            <rFont val="Tahoma"/>
            <family val="2"/>
          </rPr>
          <t>Barry.Lawson:</t>
        </r>
        <r>
          <rPr>
            <sz val="8"/>
            <color indexed="81"/>
            <rFont val="Tahoma"/>
            <family val="2"/>
          </rPr>
          <t xml:space="preserve">
Expenses, including monthly, related to acqusition of Montgomery House</t>
        </r>
      </text>
    </comment>
  </commentList>
</comments>
</file>

<file path=xl/sharedStrings.xml><?xml version="1.0" encoding="utf-8"?>
<sst xmlns="http://schemas.openxmlformats.org/spreadsheetml/2006/main" count="515" uniqueCount="256">
  <si>
    <t>Option I is to be used as a more pessimistic view of the future, while Option II is more optimistic.  However, they can be used and defined as the user wishes.</t>
  </si>
  <si>
    <t>Cells in which data is required are in light yellow.</t>
  </si>
  <si>
    <t>It is suggested that each run of the model be saved and documented [e.g., user initial, date, version #]</t>
  </si>
  <si>
    <t>b.  Capital Expenses and Expansion Planning shall be paid from endowment if withdrawal category</t>
  </si>
  <si>
    <t>Interest on Investment Income</t>
  </si>
  <si>
    <t>Investment Management Fee</t>
  </si>
  <si>
    <t xml:space="preserve">       Beginning of year</t>
  </si>
  <si>
    <t xml:space="preserve">       End of year</t>
  </si>
  <si>
    <t xml:space="preserve">"I think the most important assumption that  </t>
  </si>
  <si>
    <t>Parameters of the Basic Model and Assumptions</t>
  </si>
  <si>
    <t>BRL 1/13/05</t>
  </si>
  <si>
    <t xml:space="preserve">            Weather Services</t>
  </si>
  <si>
    <t xml:space="preserve">            School (contract/non-contract)</t>
  </si>
  <si>
    <t xml:space="preserve">         Other Gifts</t>
  </si>
  <si>
    <t xml:space="preserve">             Temporary Staff Positions</t>
  </si>
  <si>
    <t xml:space="preserve">             Permanent Staff Positions</t>
  </si>
  <si>
    <t xml:space="preserve">             Weather Services</t>
  </si>
  <si>
    <t xml:space="preserve">             School (contract/non-contract)</t>
  </si>
  <si>
    <t xml:space="preserve">             Museum Shop Costs</t>
  </si>
  <si>
    <t xml:space="preserve">          Expansion Planning</t>
  </si>
  <si>
    <t xml:space="preserve">          Interest to Investment Income</t>
  </si>
  <si>
    <t xml:space="preserve">             Collections, Kitchel</t>
  </si>
  <si>
    <t xml:space="preserve">             Exhibits and Planning</t>
  </si>
  <si>
    <t xml:space="preserve">             Planetarium and Oth. Programs</t>
  </si>
  <si>
    <t xml:space="preserve">             Festival, Auction, Visitor, etc.</t>
  </si>
  <si>
    <t>BRL 5/3/05</t>
  </si>
  <si>
    <t xml:space="preserve">          Non-Personnel</t>
  </si>
  <si>
    <t>Proj.</t>
  </si>
  <si>
    <t xml:space="preserve">          Withdrawal for Capital Expense/Planning</t>
  </si>
  <si>
    <t xml:space="preserve">     Capital Expense</t>
  </si>
  <si>
    <t xml:space="preserve">     Expansion Planning</t>
  </si>
  <si>
    <t xml:space="preserve">         Gift allocated to Annual Budget</t>
  </si>
  <si>
    <t>Note: On May 11, 2005 I revised the assumptions and the formulas in the spreadsheet to accomplish the following:</t>
  </si>
  <si>
    <t>c.  Operating surplus/deficit shall be $0 every year</t>
  </si>
  <si>
    <t>d.  Endowment withdrawal for operating budget equals what it is necessary to bring surplus/deficit to zero</t>
  </si>
  <si>
    <t>with more caution.  The model also includes a sub-model that is to be used during the capital campaign (and will eventually be integrated with the business model).</t>
  </si>
  <si>
    <t xml:space="preserve">  Development and Marketing Costs/Total Costs</t>
  </si>
  <si>
    <t>GOAL</t>
  </si>
  <si>
    <t>Important Ratios and Factors</t>
  </si>
  <si>
    <t>% of Capital Campaign to Endowment</t>
  </si>
  <si>
    <t>BRL 9/29/05</t>
  </si>
  <si>
    <t>the model is to be used.  The model has gone through a number of iterations during 2004 and 2005, and it will be tested against these intended uses as time goes on.</t>
  </si>
  <si>
    <t>However, new information (e.g., past year data) or changes of some magnitude in the Museum's operation should be reflected in the model.</t>
  </si>
  <si>
    <t>discuss it use sand possible modifications.</t>
  </si>
  <si>
    <t>Note: On September 29 and October 14, 2005 respectively, I met with the Board and Finance Committee of the Museum to present the model and</t>
  </si>
  <si>
    <t>It also provides an overview of the differences among the base case as well as Options I and II.</t>
  </si>
  <si>
    <t>Special attention must be given to the Endowment.  As of now, there is only one assumption (rate of return), but more is needed in terms of investment management fee,</t>
  </si>
  <si>
    <t xml:space="preserve"> and other special withdrawals and deposits.</t>
  </si>
  <si>
    <t xml:space="preserve">a.  We distinguish between gifts that go to pay annual expenses from those that go to the Endowment.  </t>
  </si>
  <si>
    <t>Most, if not all, should go to the Endowment from where it may be withdrawn if necessary</t>
  </si>
  <si>
    <t>Museum decisions.  Sensitivity analysis will be encouraged, and space provided for the results of such analysis.</t>
  </si>
  <si>
    <t>Assumptions</t>
  </si>
  <si>
    <t>Growth Rate</t>
  </si>
  <si>
    <t>A cell marked with this symbol has a pertinent comment attached to it</t>
  </si>
  <si>
    <t>Notes of Symbols and Comments</t>
  </si>
  <si>
    <t>Three-Year Horizon</t>
  </si>
  <si>
    <t>BRL 10-26-04</t>
  </si>
  <si>
    <t>Decision Variables and Summary (Base Case)</t>
  </si>
  <si>
    <t>Option I</t>
  </si>
  <si>
    <t>Option II</t>
  </si>
  <si>
    <t>Base</t>
  </si>
  <si>
    <t>Case</t>
  </si>
  <si>
    <t>Base Case</t>
  </si>
  <si>
    <t xml:space="preserve">Option I </t>
  </si>
  <si>
    <t>Grants as % of Revenues</t>
  </si>
  <si>
    <t>Endowment Withdrawal as %</t>
  </si>
  <si>
    <t>Assumptions for Base Case and Options</t>
  </si>
  <si>
    <t>Personnel as % of Total Costs</t>
  </si>
  <si>
    <t>Historical Data</t>
  </si>
  <si>
    <t>2004 as %</t>
  </si>
  <si>
    <t>of revenues and costs were used in the assumptions, results and model sheets.  One must be very careful in playing with</t>
  </si>
  <si>
    <t>Sales in Museum Shop per paid admission</t>
  </si>
  <si>
    <t>Growth rate for weather service fees</t>
  </si>
  <si>
    <t>Growth rate for school service fees</t>
  </si>
  <si>
    <t>Growth rate of museum shop sales per admission</t>
  </si>
  <si>
    <t>Growth rate of admissions fee</t>
  </si>
  <si>
    <t xml:space="preserve">Growth rate of Museum paid attendance </t>
  </si>
  <si>
    <t>actual</t>
  </si>
  <si>
    <t>projected</t>
  </si>
  <si>
    <t>submodel.  Completed draft of capital campaign model and added flexibility on assumptions on museum sales, admissions, etc.</t>
  </si>
  <si>
    <t>Note: On September 15-17, 2005 I incorporated changes identified during past two weeks, including first thoughts on capital campaign</t>
  </si>
  <si>
    <t xml:space="preserve">  Foundation Grants/Total Expenditures</t>
  </si>
  <si>
    <t xml:space="preserve">  Government Grants/Total Expenditures</t>
  </si>
  <si>
    <t xml:space="preserve">  School ServicesRevenues/Cost of School Programs</t>
  </si>
  <si>
    <t xml:space="preserve">  Shop Sales/Shop costs</t>
  </si>
  <si>
    <t xml:space="preserve">  Development and Marketing Costs/Total Revenues</t>
  </si>
  <si>
    <t xml:space="preserve">  Administration Costs/Total Revenues</t>
  </si>
  <si>
    <t>A</t>
  </si>
  <si>
    <t>B</t>
  </si>
  <si>
    <t>C</t>
  </si>
  <si>
    <t>D</t>
  </si>
  <si>
    <t>E</t>
  </si>
  <si>
    <t>F</t>
  </si>
  <si>
    <t>G</t>
  </si>
  <si>
    <t>H</t>
  </si>
  <si>
    <t>I</t>
  </si>
  <si>
    <t xml:space="preserve">         Public programs &amp; events</t>
  </si>
  <si>
    <t xml:space="preserve">         Gross Retail Sales</t>
  </si>
  <si>
    <t xml:space="preserve">         Fees for Services</t>
  </si>
  <si>
    <t xml:space="preserve">          Facilities and Equipment</t>
  </si>
  <si>
    <t>with add. data -1-7-04</t>
  </si>
  <si>
    <t xml:space="preserve">          Special withdrawal</t>
  </si>
  <si>
    <t xml:space="preserve">          Investment Management Fee</t>
  </si>
  <si>
    <t xml:space="preserve">          Add. Endowment Contrib.</t>
  </si>
  <si>
    <t>BRL 10/04</t>
  </si>
  <si>
    <t>Purposes of the Planning Model</t>
  </si>
  <si>
    <t>This model has been designed and developed by a Spreadsheet Engineering Team at Tuck School at Dartmouth College in collaboration with the Finance</t>
  </si>
  <si>
    <t>Simplicity is the bottom line of the design.  In fact, as one of the Museum Board members said, "It is better to be approximately right, than to be precisely wrong."</t>
  </si>
  <si>
    <t>The model is just that - a model.  It is intended to portray many of the interrelationships that exist among the Museum's programs and operations, expressed through</t>
  </si>
  <si>
    <t>its finances and financial system.  The model is also integrated with the recently revised financial accounting system of the Museum in order to make the</t>
  </si>
  <si>
    <t>language' and the mathematical relationships within the model as close to the real world as necessary to gain understanding of the causal effects of</t>
  </si>
  <si>
    <t>e.  Special withdrawals and investment management fees come from Endowment and are not annual operating costs</t>
  </si>
  <si>
    <t>One-Year</t>
  </si>
  <si>
    <t>Base Year</t>
  </si>
  <si>
    <t xml:space="preserve">Endowment, end of year </t>
  </si>
  <si>
    <t>Note: On August 15, 2005, I completed the Results Page by figuring in Base Cases, Options I and II for one and three-year periods</t>
  </si>
  <si>
    <t>a. I then developed a two summary tables of important ratios, for base cases (top) and for options I and II (bottom)</t>
  </si>
  <si>
    <t>c. We need to obtain figures for school costs and revenues, weather costs and revenues and shop sales and costs.</t>
  </si>
  <si>
    <t>b. I also inserted assumptions for growth rates for Options I and II</t>
  </si>
  <si>
    <t xml:space="preserve">          Capital Expense</t>
  </si>
  <si>
    <t>Limit on Endowment Withdrawal for Operations</t>
  </si>
  <si>
    <t>Option</t>
  </si>
  <si>
    <t>II</t>
  </si>
  <si>
    <t>Over or Under Limit ?</t>
  </si>
  <si>
    <t xml:space="preserve">   of Maximum Allowed</t>
  </si>
  <si>
    <t>a. I also concentrated all assumptions to the Assumptions page, and made small changes to make model more efficient</t>
  </si>
  <si>
    <t>b. I conducted an XLAnalyst audit report, finding the "Risk %" to be 20%, primarily because I have some denominators that equal 0.</t>
  </si>
  <si>
    <t xml:space="preserve"> a capital campaign, and/or investing in new facilities.  The expanded model will then become more useful as a forecasting tool, at least reflecting many of the </t>
  </si>
  <si>
    <t>model to permit analysis and evaluation of more sophisticated policy decisions, e.g., the effects of introducing new Museum programs, hiring new staff, engaging in</t>
  </si>
  <si>
    <t>The Workbook will also include historical information so that, over time, as new information is gathered and Museum performance monitored, this</t>
  </si>
  <si>
    <t>information can inform model users regarding assumptions to be used for the future.  It is anticipated that the principal interest of model users will be on the</t>
  </si>
  <si>
    <t>forthcoming three-year period.  The model will extend forecasts beyond three years, but it is understood that these longer term forecasts must be viewed</t>
  </si>
  <si>
    <t>There is no pretense that the model will provide accurate forecasts of the future financial situation of the Museum; however, the model should</t>
  </si>
  <si>
    <t>of the institution without any influence from extraordinary financial commitments or inflows.  This basic model will be the focus of attention in the early</t>
  </si>
  <si>
    <t>design and use to ensure that there is confidence that this version of model has 'integrity' and can be judged sufficiently valid to be useful for the number</t>
  </si>
  <si>
    <t>of functions for which it is designed.</t>
  </si>
  <si>
    <t>impacts that should be anticipated with a major financial decision.</t>
  </si>
  <si>
    <t>Summary of the Model Outputs - Decision Variables, Base Case</t>
  </si>
  <si>
    <t>Basic Business Planning Model</t>
  </si>
  <si>
    <t xml:space="preserve">Director and Staff to develop, analyze and modify annual budgets (on a quarterly basis), make forecasts of future costs and revenues, and consider the possible </t>
  </si>
  <si>
    <t>impacts of major changes to the programs, personnel, capital expenditures or endowment strategies.  It should provide the 'big picture' on the Museum financial situation.</t>
  </si>
  <si>
    <r>
      <t xml:space="preserve">provide insight into probable effects on tomorrow of decisions made today.  The </t>
    </r>
    <r>
      <rPr>
        <b/>
        <sz val="10"/>
        <rFont val="Arial"/>
        <family val="2"/>
      </rPr>
      <t>basic</t>
    </r>
    <r>
      <rPr>
        <sz val="10"/>
        <rFont val="Arial"/>
        <family val="2"/>
      </rPr>
      <t xml:space="preserve"> model is specifically designed to portray the normal operations</t>
    </r>
  </si>
  <si>
    <t>of 2003</t>
  </si>
  <si>
    <t>2005 as %</t>
  </si>
  <si>
    <t>of 2004</t>
  </si>
  <si>
    <t>2006 as %</t>
  </si>
  <si>
    <t>of 2005</t>
  </si>
  <si>
    <t>Average</t>
  </si>
  <si>
    <t>Ann. Rate</t>
  </si>
  <si>
    <t>Growth Rates</t>
  </si>
  <si>
    <t>Two-Year</t>
  </si>
  <si>
    <t>Three-Year</t>
  </si>
  <si>
    <t>2005/2003</t>
  </si>
  <si>
    <t>2006/2003</t>
  </si>
  <si>
    <t>must underpin this work is that the museum will exercise both discipline and</t>
  </si>
  <si>
    <t>informed judgment in the consistent use of the model.   This isn't about</t>
  </si>
  <si>
    <t>reporting results; it's about planning for and monitoring the financial (and</t>
  </si>
  <si>
    <t>programmatic) health of the museum at the strategic and tactical levels.  If</t>
  </si>
  <si>
    <t>we can integrate this model into our strategic planning, with a commitment</t>
  </si>
  <si>
    <t>from the institution at all levels to apply it, study it, and use it wisely,</t>
  </si>
  <si>
    <t>then it will have tremendous value.   If we regard it as just another way to</t>
  </si>
  <si>
    <t>look at the same old numbers, then it will be an exercise in frustration.</t>
  </si>
  <si>
    <t>I think we are not quite at the level of complete commitment, and probably</t>
  </si>
  <si>
    <t>won't be until others have time to look at, digest, and understand the</t>
  </si>
  <si>
    <t>potential of the model.  This would include the new Board leadership; the</t>
  </si>
  <si>
    <t xml:space="preserve">management team; and Board committee chairs, at the very least.  </t>
  </si>
  <si>
    <t>Ratios</t>
  </si>
  <si>
    <t xml:space="preserve">  General Admission Revenues/Total Expenditures</t>
  </si>
  <si>
    <t xml:space="preserve">  Municipal Appropriations/Total Expenditures</t>
  </si>
  <si>
    <t>SGP</t>
  </si>
  <si>
    <t>Prototype Planning Model</t>
  </si>
  <si>
    <t xml:space="preserve">          Grants</t>
  </si>
  <si>
    <t xml:space="preserve">               Municipal</t>
  </si>
  <si>
    <t xml:space="preserve">               Federal</t>
  </si>
  <si>
    <t xml:space="preserve">               Foundations</t>
  </si>
  <si>
    <t xml:space="preserve">         Admissions</t>
  </si>
  <si>
    <t xml:space="preserve">         Annual Fund</t>
  </si>
  <si>
    <t>CURRENT MUSEUM OPERATIONS</t>
  </si>
  <si>
    <t>Actual</t>
  </si>
  <si>
    <t>Annual</t>
  </si>
  <si>
    <t>Growth rate</t>
  </si>
  <si>
    <t xml:space="preserve"> </t>
  </si>
  <si>
    <t xml:space="preserve">          Personnel</t>
  </si>
  <si>
    <t xml:space="preserve">          Administration</t>
  </si>
  <si>
    <t xml:space="preserve">          Development and Marketing</t>
  </si>
  <si>
    <t xml:space="preserve">               Total grants</t>
  </si>
  <si>
    <t xml:space="preserve">     Total revenues</t>
  </si>
  <si>
    <t>Revenues</t>
  </si>
  <si>
    <t>Costs</t>
  </si>
  <si>
    <t xml:space="preserve">     Total costs</t>
  </si>
  <si>
    <t xml:space="preserve">          Programs</t>
  </si>
  <si>
    <t xml:space="preserve">         Sponsorships</t>
  </si>
  <si>
    <t>Projected</t>
  </si>
  <si>
    <t xml:space="preserve">         Endowment withdrawal</t>
  </si>
  <si>
    <t xml:space="preserve">         Contributions and membership</t>
  </si>
  <si>
    <t>Operating surplus/deficit</t>
  </si>
  <si>
    <t>Endowment</t>
  </si>
  <si>
    <t xml:space="preserve">          Beginning of year</t>
  </si>
  <si>
    <t xml:space="preserve">          Withdrawal for operations</t>
  </si>
  <si>
    <t xml:space="preserve">          End of year</t>
  </si>
  <si>
    <t>Check [non-personnel+personnel=total costs?]</t>
  </si>
  <si>
    <t xml:space="preserve">         Gifts allocated to annual budget</t>
  </si>
  <si>
    <t>xxx</t>
  </si>
  <si>
    <t>Note: Assumptions and Projected Data in Italics</t>
  </si>
  <si>
    <t>Check [(non-personnel+personnel)-total costs?]</t>
  </si>
  <si>
    <t xml:space="preserve">   of Total Revenues</t>
  </si>
  <si>
    <t>UNDER</t>
  </si>
  <si>
    <t xml:space="preserve">  Administration Costs/Total Costs</t>
  </si>
  <si>
    <t xml:space="preserve">  Weather Services Revenues/Weather Services Costs</t>
  </si>
  <si>
    <t xml:space="preserve">  Shop Sales/Shop Costs</t>
  </si>
  <si>
    <t xml:space="preserve">     Total Costs</t>
  </si>
  <si>
    <t xml:space="preserve">Other Model Assumptions:   </t>
  </si>
  <si>
    <t>became version 4.0.  On November 24, I began modifying the format with protected cells and color coding to make it easier to use.</t>
  </si>
  <si>
    <t>On December 12, I inserted the influence diagram below.</t>
  </si>
  <si>
    <t>Est</t>
  </si>
  <si>
    <t>est</t>
  </si>
  <si>
    <t>2006 proj</t>
  </si>
  <si>
    <t>End of Year Three - 2009</t>
  </si>
  <si>
    <t>End of Year One - 2007</t>
  </si>
  <si>
    <t>Revised 5/3/05, 8/15/05, 8/16/05, 9/15/05, 11/24/05, 12/16/05, 12/29/05</t>
  </si>
  <si>
    <t xml:space="preserve">             Auction, Visitor Services</t>
  </si>
  <si>
    <t>BRL made adjustments on 10-26-04 and on 11-17-04 and 1-13-05 and 5-03-05 and 8-15-05 and 8/29/05 and 9/12-16/05, 11/24/05 and 12/29/05</t>
  </si>
  <si>
    <t>Northern Museum</t>
  </si>
  <si>
    <t xml:space="preserve">Committee of the Northern Museum.  That committee has provided guidance regarding the purposes of the model as well as the principal uses to which </t>
  </si>
  <si>
    <t xml:space="preserve">The purposes for developing a 'business planning' model for the Northern Museum is to provide a tool for the Museum Board, Executive </t>
  </si>
  <si>
    <t xml:space="preserve">Once this basic model has been approved and adopted, the model designers will prepare additional spreadsheet modules that will be integrated with the basic </t>
  </si>
  <si>
    <t xml:space="preserve"> - Executive Director, Northern Museum</t>
  </si>
  <si>
    <t>How to use this model:</t>
  </si>
  <si>
    <t>The user should first become acquainted with the model, the workbook, and all the worksheets.  The purpose of the model is to help with annual and semi-annual planning</t>
  </si>
  <si>
    <t xml:space="preserve">The three principal sheets are Assumptions, Long Term Model, and Short Term Results.  The Long Term Model sheet contains the projections that emanate from the assumptions. </t>
  </si>
  <si>
    <t xml:space="preserve">The Short Term Results sheet summarizes the information primarily for the one-year and three-year time frame.  </t>
  </si>
  <si>
    <t>Input into the Assumptions sheet automatically gets translated into the Long Term Model and Short Term Results sheets.</t>
  </si>
  <si>
    <t>With this as background, the user focuses on the Assumptions sheet, entering assumptions for the base case and the two options.</t>
  </si>
  <si>
    <t>The Long Term Model and the Short Term Results sheets provide information based on the model and the user's inputs.  After reviewing the results, the user may wish to vary assumptions.</t>
  </si>
  <si>
    <t>The model should be useful at least twice a year - once when the annual budget is being formulated, and again half way through the year.</t>
  </si>
  <si>
    <t xml:space="preserve">On the Long Term Model sheet there is a column that uses the information from the past year in Column C.  </t>
  </si>
  <si>
    <t>The Short Term Results sheet  uses information projected for the following or current year in Column U.</t>
  </si>
  <si>
    <t>Note: On August 16, 2005 I arranged for a meeting at the museum on August 18 (Director and Treasurer).</t>
  </si>
  <si>
    <t>Note: On August 17, 2005 I made minor changes, added the log sheet, and sent package to Director and Treasurer</t>
  </si>
  <si>
    <t xml:space="preserve">Note: On August 29, after a meeting with Director and Treasurer, I made several corrections- most of them insuring that the same range </t>
  </si>
  <si>
    <t>the formulas!!  This cannot be overemphasized.  Director will provide growth rates for the subprograms that must be incorporated.</t>
  </si>
  <si>
    <t xml:space="preserve">In late October, I had KS perform an audit of the model and her found errors and 'poor practices' were addressed and </t>
  </si>
  <si>
    <t>On December 29, I received and entered some refinements for 2006 budget from Director.</t>
  </si>
  <si>
    <t>OVERVIEW</t>
  </si>
  <si>
    <t>INSTRUCTIONS</t>
  </si>
  <si>
    <t>GUIDE TO SHEETS</t>
  </si>
  <si>
    <t>INFLUENCE CHART</t>
  </si>
  <si>
    <t>LONG TERM MODEL</t>
  </si>
  <si>
    <t>SHORT TERM RESULTS</t>
  </si>
  <si>
    <t>HISTORICAL DATA</t>
  </si>
  <si>
    <t>RATIO CHARTS</t>
  </si>
  <si>
    <t>ASSUMPTIONS</t>
  </si>
  <si>
    <t xml:space="preserve">          Contributions from Capital Campaign</t>
  </si>
  <si>
    <t>information from one sheet to another.</t>
  </si>
  <si>
    <t xml:space="preserve">Note: the arrows below depict the flow of </t>
  </si>
  <si>
    <t>LOG OF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</si>
</sst>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quot;$&quot;#,##0"/>
  </numFmts>
  <fonts count="19" x14ac:knownFonts="1">
    <font>
      <sz val="10"/>
      <name val="Arial"/>
    </font>
    <font>
      <b/>
      <sz val="10"/>
      <name val="Arial"/>
      <family val="2"/>
    </font>
    <font>
      <b/>
      <i/>
      <sz val="10"/>
      <name val="Arial"/>
      <family val="2"/>
    </font>
    <font>
      <sz val="8"/>
      <color indexed="81"/>
      <name val="Tahoma"/>
      <family val="2"/>
    </font>
    <font>
      <b/>
      <sz val="8"/>
      <color indexed="81"/>
      <name val="Tahoma"/>
      <family val="2"/>
    </font>
    <font>
      <u/>
      <sz val="10"/>
      <color indexed="12"/>
      <name val="Arial"/>
      <family val="2"/>
    </font>
    <font>
      <i/>
      <sz val="10"/>
      <name val="Arial"/>
      <family val="2"/>
    </font>
    <font>
      <b/>
      <sz val="8"/>
      <name val="Arial"/>
      <family val="2"/>
    </font>
    <font>
      <sz val="9"/>
      <name val="Arial"/>
      <family val="2"/>
    </font>
    <font>
      <i/>
      <sz val="9"/>
      <name val="Arial"/>
      <family val="2"/>
    </font>
    <font>
      <sz val="10"/>
      <name val="Arial"/>
      <family val="2"/>
    </font>
    <font>
      <sz val="9"/>
      <name val="Arial"/>
      <family val="2"/>
    </font>
    <font>
      <b/>
      <u/>
      <sz val="10"/>
      <name val="Arial"/>
      <family val="2"/>
    </font>
    <font>
      <sz val="8"/>
      <name val="Arial"/>
      <family val="2"/>
    </font>
    <font>
      <sz val="14"/>
      <name val="Arial"/>
      <family val="2"/>
    </font>
    <font>
      <u/>
      <sz val="14"/>
      <color indexed="12"/>
      <name val="Arial"/>
      <family val="2"/>
    </font>
    <font>
      <b/>
      <sz val="14"/>
      <name val="Arial"/>
      <family val="2"/>
    </font>
    <font>
      <b/>
      <sz val="12"/>
      <name val="Arial"/>
      <family val="2"/>
    </font>
    <font>
      <sz val="12"/>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2"/>
        <bgColor indexed="64"/>
      </patternFill>
    </fill>
  </fills>
  <borders count="51">
    <border>
      <left/>
      <right/>
      <top/>
      <bottom/>
      <diagonal/>
    </border>
    <border>
      <left/>
      <right/>
      <top/>
      <bottom style="medium">
        <color indexed="64"/>
      </bottom>
      <diagonal/>
    </border>
    <border>
      <left style="double">
        <color indexed="64"/>
      </left>
      <right/>
      <top/>
      <bottom/>
      <diagonal/>
    </border>
    <border>
      <left/>
      <right style="double">
        <color indexed="64"/>
      </right>
      <top/>
      <bottom/>
      <diagonal/>
    </border>
    <border>
      <left style="thin">
        <color indexed="64"/>
      </left>
      <right style="thin">
        <color indexed="64"/>
      </right>
      <top/>
      <bottom/>
      <diagonal/>
    </border>
    <border>
      <left style="double">
        <color indexed="64"/>
      </left>
      <right/>
      <top/>
      <bottom style="medium">
        <color indexed="64"/>
      </bottom>
      <diagonal/>
    </border>
    <border>
      <left style="thin">
        <color indexed="64"/>
      </left>
      <right style="thin">
        <color indexed="64"/>
      </right>
      <top/>
      <bottom style="medium">
        <color indexed="64"/>
      </bottom>
      <diagonal/>
    </border>
    <border>
      <left/>
      <right style="double">
        <color indexed="64"/>
      </right>
      <top/>
      <bottom style="medium">
        <color indexed="64"/>
      </bottom>
      <diagonal/>
    </border>
    <border>
      <left style="medium">
        <color indexed="64"/>
      </left>
      <right/>
      <top/>
      <bottom/>
      <diagonal/>
    </border>
    <border>
      <left style="double">
        <color indexed="64"/>
      </left>
      <right/>
      <top style="double">
        <color indexed="64"/>
      </top>
      <bottom/>
      <diagonal/>
    </border>
    <border>
      <left style="double">
        <color indexed="64"/>
      </left>
      <right style="double">
        <color indexed="64"/>
      </right>
      <top style="double">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double">
        <color indexed="64"/>
      </left>
      <right/>
      <top style="medium">
        <color indexed="64"/>
      </top>
      <bottom/>
      <diagonal/>
    </border>
    <border>
      <left/>
      <right style="thin">
        <color indexed="64"/>
      </right>
      <top style="medium">
        <color indexed="64"/>
      </top>
      <bottom/>
      <diagonal/>
    </border>
    <border>
      <left style="double">
        <color indexed="64"/>
      </left>
      <right style="double">
        <color indexed="64"/>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double">
        <color indexed="64"/>
      </left>
      <right/>
      <top/>
      <bottom style="thin">
        <color indexed="64"/>
      </bottom>
      <diagonal/>
    </border>
    <border>
      <left style="double">
        <color indexed="64"/>
      </left>
      <right style="double">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double">
        <color indexed="64"/>
      </left>
      <right style="double">
        <color indexed="64"/>
      </right>
      <top style="thin">
        <color indexed="64"/>
      </top>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double">
        <color indexed="64"/>
      </left>
      <right/>
      <top style="thin">
        <color indexed="64"/>
      </top>
      <bottom/>
      <diagonal/>
    </border>
    <border>
      <left/>
      <right style="thin">
        <color indexed="64"/>
      </right>
      <top style="thin">
        <color indexed="64"/>
      </top>
      <bottom/>
      <diagonal/>
    </border>
    <border>
      <left style="double">
        <color indexed="64"/>
      </left>
      <right style="thin">
        <color indexed="64"/>
      </right>
      <top/>
      <bottom/>
      <diagonal/>
    </border>
    <border>
      <left style="mediumDashDot">
        <color indexed="64"/>
      </left>
      <right/>
      <top/>
      <bottom/>
      <diagonal/>
    </border>
    <border>
      <left/>
      <right style="medium">
        <color indexed="64"/>
      </right>
      <top/>
      <bottom/>
      <diagonal/>
    </border>
    <border>
      <left style="mediumDashDotDot">
        <color indexed="64"/>
      </left>
      <right/>
      <top/>
      <bottom/>
      <diagonal/>
    </border>
    <border>
      <left/>
      <right style="mediumDashDot">
        <color indexed="64"/>
      </right>
      <top/>
      <bottom/>
      <diagonal/>
    </border>
    <border>
      <left style="medium">
        <color indexed="64"/>
      </left>
      <right/>
      <top/>
      <bottom style="medium">
        <color indexed="64"/>
      </bottom>
      <diagonal/>
    </border>
    <border>
      <left style="mediumDashDotDot">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DashDot">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DashDot">
        <color indexed="64"/>
      </left>
      <right/>
      <top style="medium">
        <color indexed="64"/>
      </top>
      <bottom/>
      <diagonal/>
    </border>
    <border>
      <left/>
      <right style="medium">
        <color indexed="64"/>
      </right>
      <top style="medium">
        <color indexed="64"/>
      </top>
      <bottom/>
      <diagonal/>
    </border>
    <border>
      <left style="mediumDashDot">
        <color indexed="64"/>
      </left>
      <right/>
      <top/>
      <bottom style="medium">
        <color indexed="64"/>
      </bottom>
      <diagonal/>
    </border>
  </borders>
  <cellStyleXfs count="2">
    <xf numFmtId="0" fontId="0" fillId="0" borderId="0"/>
    <xf numFmtId="0" fontId="5" fillId="0" borderId="0" applyNumberFormat="0" applyFill="0" applyBorder="0" applyAlignment="0" applyProtection="0">
      <alignment vertical="top"/>
      <protection locked="0"/>
    </xf>
  </cellStyleXfs>
  <cellXfs count="238">
    <xf numFmtId="0" fontId="0" fillId="0" borderId="0" xfId="0"/>
    <xf numFmtId="0" fontId="1" fillId="0" borderId="0" xfId="0" applyFont="1"/>
    <xf numFmtId="3" fontId="0" fillId="0" borderId="0" xfId="0" applyNumberFormat="1"/>
    <xf numFmtId="0" fontId="1" fillId="0" borderId="0" xfId="0" applyFont="1" applyAlignment="1">
      <alignment horizontal="center"/>
    </xf>
    <xf numFmtId="3" fontId="0" fillId="0" borderId="0" xfId="0" applyNumberFormat="1" applyBorder="1"/>
    <xf numFmtId="0" fontId="0" fillId="0" borderId="0" xfId="0" quotePrefix="1"/>
    <xf numFmtId="0" fontId="0" fillId="0" borderId="0" xfId="0" applyAlignment="1">
      <alignment horizontal="center"/>
    </xf>
    <xf numFmtId="0" fontId="1" fillId="0" borderId="1" xfId="0" applyFont="1" applyBorder="1"/>
    <xf numFmtId="0" fontId="1" fillId="0" borderId="1" xfId="0" applyFont="1" applyBorder="1" applyAlignment="1">
      <alignment horizontal="center"/>
    </xf>
    <xf numFmtId="0" fontId="6" fillId="0" borderId="0" xfId="0" applyFont="1"/>
    <xf numFmtId="0" fontId="1" fillId="0" borderId="0" xfId="0" applyFont="1" applyFill="1" applyBorder="1" applyAlignment="1">
      <alignment horizontal="center"/>
    </xf>
    <xf numFmtId="0" fontId="1" fillId="0" borderId="1" xfId="0" applyFont="1" applyFill="1" applyBorder="1" applyAlignment="1">
      <alignment horizontal="center"/>
    </xf>
    <xf numFmtId="165" fontId="0" fillId="0" borderId="0" xfId="0" applyNumberFormat="1"/>
    <xf numFmtId="164" fontId="0" fillId="0" borderId="0" xfId="0" applyNumberFormat="1" applyAlignment="1">
      <alignment horizontal="right"/>
    </xf>
    <xf numFmtId="0" fontId="11" fillId="0" borderId="0" xfId="0" applyFont="1"/>
    <xf numFmtId="0" fontId="11" fillId="0" borderId="0" xfId="0" applyFont="1" applyAlignment="1">
      <alignment horizontal="center"/>
    </xf>
    <xf numFmtId="165" fontId="0" fillId="0" borderId="0" xfId="0" applyNumberFormat="1" applyAlignment="1">
      <alignment horizontal="right"/>
    </xf>
    <xf numFmtId="0" fontId="0" fillId="2" borderId="0" xfId="0" applyFill="1" applyProtection="1"/>
    <xf numFmtId="0" fontId="1" fillId="2" borderId="0" xfId="0" applyFont="1" applyFill="1" applyProtection="1"/>
    <xf numFmtId="0" fontId="10" fillId="2" borderId="0" xfId="0" applyFont="1" applyFill="1" applyProtection="1"/>
    <xf numFmtId="3" fontId="6" fillId="2" borderId="0" xfId="0" applyNumberFormat="1" applyFont="1" applyFill="1" applyAlignment="1" applyProtection="1">
      <alignment horizontal="right"/>
    </xf>
    <xf numFmtId="0" fontId="0" fillId="2" borderId="0" xfId="0" applyFill="1" applyAlignment="1" applyProtection="1">
      <alignment horizontal="center"/>
    </xf>
    <xf numFmtId="0" fontId="0" fillId="0" borderId="0" xfId="0" applyProtection="1"/>
    <xf numFmtId="0" fontId="6" fillId="2" borderId="0" xfId="0" applyFont="1" applyFill="1" applyProtection="1"/>
    <xf numFmtId="0" fontId="1" fillId="2" borderId="2" xfId="0" applyFont="1" applyFill="1" applyBorder="1" applyAlignment="1" applyProtection="1">
      <alignment horizontal="center"/>
    </xf>
    <xf numFmtId="0" fontId="1" fillId="2" borderId="0" xfId="0" applyFont="1" applyFill="1" applyBorder="1" applyAlignment="1" applyProtection="1">
      <alignment horizontal="center"/>
    </xf>
    <xf numFmtId="0" fontId="1" fillId="2" borderId="3" xfId="0" applyFont="1" applyFill="1" applyBorder="1" applyAlignment="1" applyProtection="1">
      <alignment horizontal="center"/>
    </xf>
    <xf numFmtId="0" fontId="0" fillId="2" borderId="2" xfId="0" applyFill="1" applyBorder="1" applyAlignment="1" applyProtection="1">
      <alignment horizontal="center"/>
    </xf>
    <xf numFmtId="0" fontId="0" fillId="2" borderId="0" xfId="0" applyFill="1" applyBorder="1" applyAlignment="1" applyProtection="1">
      <alignment horizontal="center"/>
    </xf>
    <xf numFmtId="0" fontId="0" fillId="2" borderId="3" xfId="0" applyFill="1" applyBorder="1" applyAlignment="1" applyProtection="1">
      <alignment horizontal="center"/>
    </xf>
    <xf numFmtId="0" fontId="1" fillId="2" borderId="0" xfId="0" applyFont="1" applyFill="1" applyAlignment="1" applyProtection="1">
      <alignment horizontal="center"/>
    </xf>
    <xf numFmtId="3" fontId="2" fillId="2" borderId="0" xfId="0" applyNumberFormat="1" applyFont="1" applyFill="1" applyAlignment="1" applyProtection="1">
      <alignment horizontal="center"/>
    </xf>
    <xf numFmtId="0" fontId="1" fillId="2" borderId="4" xfId="0" applyFont="1" applyFill="1" applyBorder="1" applyAlignment="1" applyProtection="1">
      <alignment horizontal="center"/>
    </xf>
    <xf numFmtId="0" fontId="1" fillId="2" borderId="1" xfId="0" applyFont="1" applyFill="1" applyBorder="1" applyProtection="1"/>
    <xf numFmtId="0" fontId="1" fillId="2" borderId="1" xfId="0" applyFont="1" applyFill="1" applyBorder="1" applyAlignment="1" applyProtection="1">
      <alignment horizontal="center"/>
    </xf>
    <xf numFmtId="3" fontId="2" fillId="2" borderId="1" xfId="0" applyNumberFormat="1" applyFont="1" applyFill="1" applyBorder="1" applyAlignment="1" applyProtection="1">
      <alignment horizontal="center"/>
    </xf>
    <xf numFmtId="0" fontId="1" fillId="2" borderId="5" xfId="0" applyFont="1" applyFill="1" applyBorder="1" applyAlignment="1" applyProtection="1">
      <alignment horizontal="center"/>
    </xf>
    <xf numFmtId="0" fontId="1" fillId="2" borderId="6" xfId="0" applyFont="1" applyFill="1" applyBorder="1" applyAlignment="1" applyProtection="1">
      <alignment horizontal="center"/>
    </xf>
    <xf numFmtId="0" fontId="1" fillId="2" borderId="7" xfId="0" applyFont="1" applyFill="1" applyBorder="1" applyAlignment="1" applyProtection="1">
      <alignment horizontal="center"/>
    </xf>
    <xf numFmtId="0" fontId="0" fillId="2" borderId="4" xfId="0" applyFill="1" applyBorder="1" applyAlignment="1" applyProtection="1">
      <alignment horizontal="center"/>
    </xf>
    <xf numFmtId="3" fontId="10" fillId="2" borderId="0" xfId="0" applyNumberFormat="1" applyFont="1" applyFill="1" applyProtection="1"/>
    <xf numFmtId="3" fontId="10" fillId="2" borderId="0" xfId="0" applyNumberFormat="1" applyFont="1" applyFill="1" applyBorder="1" applyProtection="1"/>
    <xf numFmtId="3" fontId="6" fillId="2" borderId="0" xfId="0" applyNumberFormat="1" applyFont="1" applyFill="1" applyBorder="1" applyProtection="1"/>
    <xf numFmtId="0" fontId="2" fillId="2" borderId="2" xfId="0" applyFont="1" applyFill="1" applyBorder="1" applyAlignment="1" applyProtection="1">
      <alignment horizontal="center"/>
    </xf>
    <xf numFmtId="0" fontId="2" fillId="2" borderId="4" xfId="0" applyFont="1" applyFill="1" applyBorder="1" applyAlignment="1" applyProtection="1">
      <alignment horizontal="center"/>
    </xf>
    <xf numFmtId="0" fontId="2" fillId="2" borderId="3" xfId="0" applyFont="1" applyFill="1" applyBorder="1" applyAlignment="1" applyProtection="1">
      <alignment horizontal="center"/>
    </xf>
    <xf numFmtId="3" fontId="6" fillId="2" borderId="0" xfId="0" applyNumberFormat="1" applyFont="1" applyFill="1" applyProtection="1"/>
    <xf numFmtId="0" fontId="2" fillId="2" borderId="0" xfId="0" applyFont="1" applyFill="1" applyBorder="1" applyAlignment="1" applyProtection="1">
      <alignment horizontal="center"/>
    </xf>
    <xf numFmtId="0" fontId="12" fillId="2" borderId="0" xfId="0" applyFont="1" applyFill="1" applyAlignment="1" applyProtection="1">
      <alignment horizontal="right"/>
    </xf>
    <xf numFmtId="10" fontId="6" fillId="2" borderId="0" xfId="0" applyNumberFormat="1" applyFont="1" applyFill="1" applyProtection="1"/>
    <xf numFmtId="0" fontId="1" fillId="2" borderId="0" xfId="0" applyFont="1" applyFill="1" applyAlignment="1" applyProtection="1">
      <alignment horizontal="right"/>
    </xf>
    <xf numFmtId="3" fontId="6" fillId="3" borderId="0" xfId="0" applyNumberFormat="1" applyFont="1" applyFill="1" applyProtection="1"/>
    <xf numFmtId="3" fontId="6" fillId="4" borderId="0" xfId="0" applyNumberFormat="1" applyFont="1" applyFill="1" applyAlignment="1" applyProtection="1">
      <alignment horizontal="right"/>
    </xf>
    <xf numFmtId="0" fontId="2" fillId="4" borderId="2" xfId="0" applyFont="1" applyFill="1" applyBorder="1" applyAlignment="1" applyProtection="1">
      <alignment horizontal="center"/>
    </xf>
    <xf numFmtId="0" fontId="2" fillId="4" borderId="4" xfId="0" applyFont="1" applyFill="1" applyBorder="1" applyAlignment="1" applyProtection="1">
      <alignment horizontal="center"/>
    </xf>
    <xf numFmtId="0" fontId="2" fillId="4" borderId="3" xfId="0" applyFont="1" applyFill="1" applyBorder="1" applyAlignment="1" applyProtection="1">
      <alignment horizontal="center"/>
    </xf>
    <xf numFmtId="164" fontId="6" fillId="4" borderId="0" xfId="0" applyNumberFormat="1" applyFont="1" applyFill="1" applyProtection="1"/>
    <xf numFmtId="0" fontId="10" fillId="0" borderId="0" xfId="0" applyFont="1" applyProtection="1"/>
    <xf numFmtId="3" fontId="6" fillId="0" borderId="0" xfId="0" applyNumberFormat="1" applyFont="1" applyAlignment="1" applyProtection="1">
      <alignment horizontal="right"/>
    </xf>
    <xf numFmtId="0" fontId="0" fillId="0" borderId="0" xfId="0" applyAlignment="1" applyProtection="1">
      <alignment horizontal="center"/>
    </xf>
    <xf numFmtId="0" fontId="0" fillId="2" borderId="8" xfId="0" applyFill="1" applyBorder="1" applyProtection="1"/>
    <xf numFmtId="0" fontId="6" fillId="2" borderId="0" xfId="0" applyFont="1" applyFill="1" applyAlignment="1" applyProtection="1">
      <alignment horizontal="center"/>
    </xf>
    <xf numFmtId="0" fontId="6" fillId="2" borderId="0" xfId="0" applyFont="1" applyFill="1" applyAlignment="1" applyProtection="1">
      <alignment horizontal="right"/>
    </xf>
    <xf numFmtId="0" fontId="2" fillId="2" borderId="0" xfId="0" applyFont="1" applyFill="1" applyAlignment="1" applyProtection="1">
      <alignment horizontal="center"/>
    </xf>
    <xf numFmtId="0" fontId="6" fillId="2" borderId="1" xfId="0" applyFont="1" applyFill="1" applyBorder="1" applyProtection="1"/>
    <xf numFmtId="0" fontId="6" fillId="2" borderId="5" xfId="0" applyFont="1" applyFill="1" applyBorder="1" applyProtection="1"/>
    <xf numFmtId="0" fontId="2" fillId="2" borderId="9" xfId="0" applyFont="1" applyFill="1" applyBorder="1" applyAlignment="1" applyProtection="1">
      <alignment horizontal="center"/>
    </xf>
    <xf numFmtId="0" fontId="2" fillId="2" borderId="10" xfId="0" applyFont="1" applyFill="1" applyBorder="1" applyAlignment="1" applyProtection="1">
      <alignment horizontal="center"/>
    </xf>
    <xf numFmtId="0" fontId="2" fillId="2" borderId="11" xfId="0" applyFont="1" applyFill="1" applyBorder="1" applyAlignment="1" applyProtection="1">
      <alignment horizontal="center"/>
    </xf>
    <xf numFmtId="0" fontId="2" fillId="2" borderId="12" xfId="0" applyFont="1" applyFill="1" applyBorder="1" applyAlignment="1" applyProtection="1">
      <alignment horizontal="center"/>
    </xf>
    <xf numFmtId="0" fontId="2" fillId="2" borderId="13" xfId="0" applyFont="1" applyFill="1" applyBorder="1" applyAlignment="1" applyProtection="1">
      <alignment horizontal="center"/>
    </xf>
    <xf numFmtId="0" fontId="2" fillId="2" borderId="14" xfId="0" applyFont="1" applyFill="1" applyBorder="1" applyAlignment="1" applyProtection="1">
      <alignment horizontal="center"/>
    </xf>
    <xf numFmtId="0" fontId="2" fillId="2" borderId="15" xfId="0" applyFont="1" applyFill="1" applyBorder="1" applyAlignment="1" applyProtection="1">
      <alignment horizontal="center"/>
    </xf>
    <xf numFmtId="0" fontId="2" fillId="2" borderId="16" xfId="0" applyFont="1" applyFill="1" applyBorder="1" applyAlignment="1" applyProtection="1">
      <alignment horizontal="center"/>
    </xf>
    <xf numFmtId="0" fontId="2" fillId="2" borderId="0" xfId="0" applyFont="1" applyFill="1" applyBorder="1" applyAlignment="1" applyProtection="1">
      <alignment horizontal="right"/>
    </xf>
    <xf numFmtId="0" fontId="2" fillId="2" borderId="17" xfId="0" applyFont="1" applyFill="1" applyBorder="1" applyAlignment="1" applyProtection="1">
      <alignment horizontal="center"/>
    </xf>
    <xf numFmtId="0" fontId="2" fillId="2" borderId="18" xfId="0" applyFont="1" applyFill="1" applyBorder="1" applyAlignment="1" applyProtection="1">
      <alignment horizontal="center"/>
    </xf>
    <xf numFmtId="0" fontId="1" fillId="2" borderId="19" xfId="0" applyFont="1" applyFill="1" applyBorder="1" applyProtection="1"/>
    <xf numFmtId="0" fontId="0" fillId="2" borderId="19" xfId="0" applyFill="1" applyBorder="1" applyProtection="1"/>
    <xf numFmtId="0" fontId="6" fillId="2" borderId="20" xfId="0" applyFont="1" applyFill="1" applyBorder="1" applyAlignment="1" applyProtection="1">
      <alignment horizontal="center"/>
    </xf>
    <xf numFmtId="0" fontId="6" fillId="2" borderId="21" xfId="0" applyFont="1" applyFill="1" applyBorder="1" applyAlignment="1" applyProtection="1">
      <alignment horizontal="center"/>
    </xf>
    <xf numFmtId="0" fontId="6" fillId="2" borderId="19" xfId="0" applyFont="1" applyFill="1" applyBorder="1" applyAlignment="1" applyProtection="1">
      <alignment horizontal="center"/>
    </xf>
    <xf numFmtId="0" fontId="6" fillId="2" borderId="19" xfId="0" applyFont="1" applyFill="1" applyBorder="1" applyAlignment="1" applyProtection="1">
      <alignment horizontal="right"/>
    </xf>
    <xf numFmtId="0" fontId="6" fillId="2" borderId="19" xfId="0" applyFont="1" applyFill="1" applyBorder="1" applyProtection="1"/>
    <xf numFmtId="0" fontId="6" fillId="2" borderId="22" xfId="0" applyFont="1" applyFill="1" applyBorder="1" applyProtection="1"/>
    <xf numFmtId="0" fontId="6" fillId="2" borderId="23" xfId="0" applyFont="1" applyFill="1" applyBorder="1" applyProtection="1"/>
    <xf numFmtId="0" fontId="6" fillId="2" borderId="20" xfId="0" applyFont="1" applyFill="1" applyBorder="1" applyProtection="1"/>
    <xf numFmtId="0" fontId="6" fillId="2" borderId="24" xfId="0" applyFont="1" applyFill="1" applyBorder="1" applyProtection="1"/>
    <xf numFmtId="0" fontId="0" fillId="2" borderId="25" xfId="0" applyFill="1" applyBorder="1" applyProtection="1"/>
    <xf numFmtId="0" fontId="0" fillId="2" borderId="26" xfId="0" applyFill="1" applyBorder="1" applyAlignment="1" applyProtection="1">
      <alignment horizontal="center"/>
    </xf>
    <xf numFmtId="0" fontId="0" fillId="2" borderId="27" xfId="0" applyFill="1" applyBorder="1" applyProtection="1"/>
    <xf numFmtId="0" fontId="0" fillId="2" borderId="28" xfId="0" applyFill="1" applyBorder="1" applyAlignment="1" applyProtection="1">
      <alignment horizontal="center"/>
    </xf>
    <xf numFmtId="0" fontId="0" fillId="2" borderId="29" xfId="0" applyFill="1" applyBorder="1" applyProtection="1"/>
    <xf numFmtId="0" fontId="0" fillId="2" borderId="30" xfId="0" applyFill="1" applyBorder="1" applyProtection="1"/>
    <xf numFmtId="0" fontId="6" fillId="2" borderId="2" xfId="0" applyFont="1" applyFill="1" applyBorder="1" applyAlignment="1" applyProtection="1">
      <alignment horizontal="center"/>
    </xf>
    <xf numFmtId="0" fontId="6" fillId="2" borderId="16" xfId="0" applyFont="1" applyFill="1" applyBorder="1" applyAlignment="1" applyProtection="1">
      <alignment horizontal="center"/>
    </xf>
    <xf numFmtId="0" fontId="6" fillId="2" borderId="0" xfId="0" applyFont="1" applyFill="1" applyBorder="1" applyAlignment="1" applyProtection="1">
      <alignment horizontal="center"/>
    </xf>
    <xf numFmtId="0" fontId="6" fillId="2" borderId="31" xfId="0" applyFont="1" applyFill="1" applyBorder="1" applyProtection="1"/>
    <xf numFmtId="0" fontId="6" fillId="2" borderId="32" xfId="0" applyFont="1" applyFill="1" applyBorder="1" applyProtection="1"/>
    <xf numFmtId="0" fontId="6" fillId="2" borderId="25" xfId="0" applyFont="1" applyFill="1" applyBorder="1" applyProtection="1"/>
    <xf numFmtId="0" fontId="6" fillId="2" borderId="33" xfId="0" applyFont="1" applyFill="1" applyBorder="1" applyProtection="1"/>
    <xf numFmtId="0" fontId="6" fillId="2" borderId="34" xfId="0" applyFont="1" applyFill="1" applyBorder="1" applyProtection="1"/>
    <xf numFmtId="0" fontId="0" fillId="2" borderId="21" xfId="0" applyFill="1" applyBorder="1" applyAlignment="1" applyProtection="1">
      <alignment horizontal="center"/>
    </xf>
    <xf numFmtId="0" fontId="0" fillId="2" borderId="23" xfId="0" applyFill="1" applyBorder="1" applyProtection="1"/>
    <xf numFmtId="0" fontId="0" fillId="2" borderId="20" xfId="0" applyFill="1" applyBorder="1" applyProtection="1"/>
    <xf numFmtId="0" fontId="6" fillId="2" borderId="2" xfId="0" applyFont="1" applyFill="1" applyBorder="1" applyProtection="1"/>
    <xf numFmtId="0" fontId="6" fillId="2" borderId="17" xfId="0" applyFont="1" applyFill="1" applyBorder="1" applyProtection="1"/>
    <xf numFmtId="0" fontId="6" fillId="2" borderId="4" xfId="0" applyFont="1" applyFill="1" applyBorder="1" applyProtection="1"/>
    <xf numFmtId="0" fontId="6" fillId="2" borderId="0" xfId="0" applyFont="1" applyFill="1" applyBorder="1" applyProtection="1"/>
    <xf numFmtId="0" fontId="6" fillId="2" borderId="18" xfId="0" applyFont="1" applyFill="1" applyBorder="1" applyProtection="1"/>
    <xf numFmtId="0" fontId="0" fillId="2" borderId="16" xfId="0" applyFill="1" applyBorder="1" applyAlignment="1" applyProtection="1">
      <alignment horizontal="center"/>
    </xf>
    <xf numFmtId="0" fontId="0" fillId="2" borderId="4" xfId="0" applyFill="1" applyBorder="1" applyProtection="1"/>
    <xf numFmtId="0" fontId="0" fillId="2" borderId="2" xfId="0" applyFill="1" applyBorder="1" applyProtection="1"/>
    <xf numFmtId="165" fontId="6" fillId="2" borderId="17" xfId="0" applyNumberFormat="1" applyFont="1" applyFill="1" applyBorder="1" applyProtection="1"/>
    <xf numFmtId="165" fontId="6" fillId="0" borderId="0" xfId="0" applyNumberFormat="1" applyFont="1" applyFill="1" applyAlignment="1" applyProtection="1">
      <alignment horizontal="center"/>
    </xf>
    <xf numFmtId="165" fontId="6" fillId="0" borderId="4" xfId="0" applyNumberFormat="1" applyFont="1" applyFill="1" applyBorder="1" applyAlignment="1" applyProtection="1">
      <alignment horizontal="center"/>
    </xf>
    <xf numFmtId="165" fontId="6" fillId="0" borderId="35" xfId="0" applyNumberFormat="1" applyFont="1" applyFill="1" applyBorder="1" applyAlignment="1" applyProtection="1">
      <alignment horizontal="center"/>
    </xf>
    <xf numFmtId="0" fontId="1" fillId="2" borderId="0" xfId="0" applyFont="1" applyFill="1" applyBorder="1" applyProtection="1"/>
    <xf numFmtId="3" fontId="6" fillId="2" borderId="0" xfId="0" applyNumberFormat="1" applyFont="1" applyFill="1" applyBorder="1" applyAlignment="1" applyProtection="1">
      <alignment horizontal="right"/>
    </xf>
    <xf numFmtId="165" fontId="6" fillId="0" borderId="17" xfId="0" applyNumberFormat="1" applyFont="1" applyFill="1" applyBorder="1" applyProtection="1"/>
    <xf numFmtId="165" fontId="6" fillId="0" borderId="4" xfId="0" applyNumberFormat="1" applyFont="1" applyFill="1" applyBorder="1" applyProtection="1"/>
    <xf numFmtId="165" fontId="6" fillId="0" borderId="0" xfId="0" applyNumberFormat="1" applyFont="1" applyFill="1" applyBorder="1" applyProtection="1"/>
    <xf numFmtId="165" fontId="6" fillId="0" borderId="2" xfId="0" applyNumberFormat="1" applyFont="1" applyFill="1" applyBorder="1" applyProtection="1"/>
    <xf numFmtId="165" fontId="6" fillId="0" borderId="18" xfId="0" applyNumberFormat="1" applyFont="1" applyFill="1" applyBorder="1" applyProtection="1"/>
    <xf numFmtId="164" fontId="0" fillId="2" borderId="16" xfId="0" applyNumberFormat="1" applyFill="1" applyBorder="1" applyAlignment="1" applyProtection="1">
      <alignment horizontal="center"/>
    </xf>
    <xf numFmtId="164" fontId="6" fillId="0" borderId="0" xfId="0" applyNumberFormat="1" applyFont="1" applyFill="1" applyAlignment="1" applyProtection="1">
      <alignment horizontal="center"/>
    </xf>
    <xf numFmtId="164" fontId="6" fillId="0" borderId="4" xfId="0" applyNumberFormat="1" applyFont="1" applyFill="1" applyBorder="1" applyAlignment="1" applyProtection="1">
      <alignment horizontal="center"/>
    </xf>
    <xf numFmtId="164" fontId="6" fillId="0" borderId="35" xfId="0" applyNumberFormat="1" applyFont="1" applyFill="1" applyBorder="1" applyAlignment="1" applyProtection="1">
      <alignment horizontal="center"/>
    </xf>
    <xf numFmtId="3" fontId="6" fillId="0" borderId="17" xfId="0" applyNumberFormat="1" applyFont="1" applyFill="1" applyBorder="1" applyProtection="1"/>
    <xf numFmtId="3" fontId="6" fillId="0" borderId="4" xfId="0" applyNumberFormat="1" applyFont="1" applyFill="1" applyBorder="1" applyProtection="1"/>
    <xf numFmtId="3" fontId="6" fillId="0" borderId="0" xfId="0" applyNumberFormat="1" applyFont="1" applyFill="1" applyBorder="1" applyProtection="1"/>
    <xf numFmtId="3" fontId="6" fillId="0" borderId="2" xfId="0" applyNumberFormat="1" applyFont="1" applyFill="1" applyBorder="1" applyProtection="1"/>
    <xf numFmtId="3" fontId="6" fillId="0" borderId="18" xfId="0" applyNumberFormat="1" applyFont="1" applyFill="1" applyBorder="1" applyProtection="1"/>
    <xf numFmtId="0" fontId="6" fillId="2" borderId="4" xfId="0" applyFont="1" applyFill="1" applyBorder="1" applyAlignment="1" applyProtection="1">
      <alignment horizontal="center"/>
    </xf>
    <xf numFmtId="0" fontId="6" fillId="2" borderId="35" xfId="0" applyFont="1" applyFill="1" applyBorder="1" applyAlignment="1" applyProtection="1">
      <alignment horizontal="center"/>
    </xf>
    <xf numFmtId="0" fontId="6" fillId="0" borderId="0" xfId="0" applyFont="1" applyFill="1" applyAlignment="1" applyProtection="1">
      <alignment horizontal="center"/>
    </xf>
    <xf numFmtId="0" fontId="6" fillId="0" borderId="4" xfId="0" applyFont="1" applyFill="1" applyBorder="1" applyAlignment="1" applyProtection="1">
      <alignment horizontal="center"/>
    </xf>
    <xf numFmtId="0" fontId="6" fillId="0" borderId="35" xfId="0" applyFont="1" applyFill="1" applyBorder="1" applyAlignment="1" applyProtection="1">
      <alignment horizontal="center"/>
    </xf>
    <xf numFmtId="165" fontId="6" fillId="2" borderId="4" xfId="0" applyNumberFormat="1" applyFont="1" applyFill="1" applyBorder="1" applyProtection="1"/>
    <xf numFmtId="165" fontId="6" fillId="2" borderId="0" xfId="0" applyNumberFormat="1" applyFont="1" applyFill="1" applyBorder="1" applyProtection="1"/>
    <xf numFmtId="165" fontId="6" fillId="2" borderId="2" xfId="0" applyNumberFormat="1" applyFont="1" applyFill="1" applyBorder="1" applyProtection="1"/>
    <xf numFmtId="165" fontId="6" fillId="2" borderId="18" xfId="0" applyNumberFormat="1" applyFont="1" applyFill="1" applyBorder="1" applyProtection="1"/>
    <xf numFmtId="0" fontId="2" fillId="2" borderId="20" xfId="0" applyFont="1" applyFill="1" applyBorder="1" applyAlignment="1" applyProtection="1">
      <alignment horizontal="center"/>
    </xf>
    <xf numFmtId="0" fontId="2" fillId="2" borderId="21" xfId="0" applyFont="1" applyFill="1" applyBorder="1" applyAlignment="1" applyProtection="1">
      <alignment horizontal="center"/>
    </xf>
    <xf numFmtId="165" fontId="6" fillId="0" borderId="22" xfId="0" applyNumberFormat="1" applyFont="1" applyFill="1" applyBorder="1" applyProtection="1"/>
    <xf numFmtId="165" fontId="6" fillId="0" borderId="23" xfId="0" applyNumberFormat="1" applyFont="1" applyFill="1" applyBorder="1" applyProtection="1"/>
    <xf numFmtId="165" fontId="6" fillId="0" borderId="19" xfId="0" applyNumberFormat="1" applyFont="1" applyFill="1" applyBorder="1" applyProtection="1"/>
    <xf numFmtId="165" fontId="6" fillId="0" borderId="20" xfId="0" applyNumberFormat="1" applyFont="1" applyFill="1" applyBorder="1" applyProtection="1"/>
    <xf numFmtId="165" fontId="6" fillId="0" borderId="24" xfId="0" applyNumberFormat="1" applyFont="1" applyFill="1" applyBorder="1" applyProtection="1"/>
    <xf numFmtId="3" fontId="6" fillId="2" borderId="17" xfId="0" applyNumberFormat="1" applyFont="1" applyFill="1" applyBorder="1" applyProtection="1"/>
    <xf numFmtId="3" fontId="6" fillId="2" borderId="4" xfId="0" applyNumberFormat="1" applyFont="1" applyFill="1" applyBorder="1" applyProtection="1"/>
    <xf numFmtId="3" fontId="6" fillId="2" borderId="2" xfId="0" applyNumberFormat="1" applyFont="1" applyFill="1" applyBorder="1" applyProtection="1"/>
    <xf numFmtId="3" fontId="6" fillId="2" borderId="18" xfId="0" applyNumberFormat="1" applyFont="1" applyFill="1" applyBorder="1" applyProtection="1"/>
    <xf numFmtId="0" fontId="6" fillId="0" borderId="17" xfId="0" applyFont="1" applyFill="1" applyBorder="1" applyProtection="1"/>
    <xf numFmtId="0" fontId="6" fillId="0" borderId="4" xfId="0" applyFont="1" applyFill="1" applyBorder="1" applyProtection="1"/>
    <xf numFmtId="0" fontId="6" fillId="0" borderId="0" xfId="0" applyFont="1" applyFill="1" applyBorder="1" applyProtection="1"/>
    <xf numFmtId="0" fontId="6" fillId="0" borderId="2" xfId="0" applyFont="1" applyFill="1" applyBorder="1" applyProtection="1"/>
    <xf numFmtId="0" fontId="6" fillId="0" borderId="18" xfId="0" applyFont="1" applyFill="1" applyBorder="1" applyProtection="1"/>
    <xf numFmtId="3" fontId="6" fillId="0" borderId="22" xfId="0" applyNumberFormat="1" applyFont="1" applyFill="1" applyBorder="1" applyProtection="1"/>
    <xf numFmtId="0" fontId="6" fillId="0" borderId="0" xfId="0" applyFont="1" applyAlignment="1" applyProtection="1">
      <alignment horizontal="center"/>
    </xf>
    <xf numFmtId="0" fontId="6" fillId="0" borderId="0" xfId="0" applyFont="1" applyAlignment="1" applyProtection="1">
      <alignment horizontal="right"/>
    </xf>
    <xf numFmtId="0" fontId="6" fillId="0" borderId="0" xfId="0" applyFont="1" applyProtection="1"/>
    <xf numFmtId="3" fontId="6" fillId="0" borderId="8" xfId="0" applyNumberFormat="1" applyFont="1" applyFill="1" applyBorder="1" applyProtection="1"/>
    <xf numFmtId="3" fontId="6" fillId="0" borderId="36" xfId="0" applyNumberFormat="1" applyFont="1" applyFill="1" applyBorder="1" applyProtection="1"/>
    <xf numFmtId="3" fontId="6" fillId="0" borderId="37" xfId="0" applyNumberFormat="1" applyFont="1" applyFill="1" applyBorder="1" applyProtection="1"/>
    <xf numFmtId="3" fontId="6" fillId="0" borderId="38" xfId="0" applyNumberFormat="1" applyFont="1" applyFill="1" applyBorder="1" applyProtection="1"/>
    <xf numFmtId="0" fontId="0" fillId="0" borderId="0" xfId="0" applyFill="1" applyProtection="1"/>
    <xf numFmtId="3" fontId="6" fillId="0" borderId="0" xfId="0" applyNumberFormat="1" applyFont="1" applyFill="1" applyProtection="1"/>
    <xf numFmtId="3" fontId="6" fillId="0" borderId="39" xfId="0" applyNumberFormat="1" applyFont="1" applyFill="1" applyBorder="1" applyProtection="1"/>
    <xf numFmtId="3" fontId="6" fillId="0" borderId="40" xfId="0" applyNumberFormat="1" applyFont="1" applyFill="1" applyBorder="1" applyProtection="1"/>
    <xf numFmtId="3" fontId="6" fillId="0" borderId="1" xfId="0" applyNumberFormat="1" applyFont="1" applyFill="1" applyBorder="1" applyProtection="1"/>
    <xf numFmtId="3" fontId="6" fillId="0" borderId="41" xfId="0" applyNumberFormat="1" applyFont="1" applyFill="1" applyBorder="1" applyProtection="1"/>
    <xf numFmtId="3" fontId="6" fillId="0" borderId="42" xfId="0" applyNumberFormat="1" applyFont="1" applyFill="1" applyBorder="1" applyProtection="1"/>
    <xf numFmtId="0" fontId="6" fillId="0" borderId="43" xfId="0" applyFont="1" applyFill="1" applyBorder="1" applyProtection="1"/>
    <xf numFmtId="0" fontId="6" fillId="0" borderId="44" xfId="0" applyFont="1" applyFill="1" applyBorder="1" applyProtection="1"/>
    <xf numFmtId="0" fontId="6" fillId="0" borderId="45" xfId="0" applyFont="1" applyFill="1" applyBorder="1" applyProtection="1"/>
    <xf numFmtId="0" fontId="6" fillId="0" borderId="46" xfId="0" applyFont="1" applyFill="1" applyBorder="1" applyProtection="1"/>
    <xf numFmtId="1" fontId="6" fillId="0" borderId="44" xfId="0" applyNumberFormat="1" applyFont="1" applyFill="1" applyBorder="1" applyProtection="1"/>
    <xf numFmtId="1" fontId="6" fillId="0" borderId="45" xfId="0" applyNumberFormat="1" applyFont="1" applyFill="1" applyBorder="1" applyProtection="1"/>
    <xf numFmtId="1" fontId="6" fillId="0" borderId="46" xfId="0" applyNumberFormat="1" applyFont="1" applyFill="1" applyBorder="1" applyProtection="1"/>
    <xf numFmtId="3" fontId="6" fillId="0" borderId="47" xfId="0" applyNumberFormat="1" applyFont="1" applyFill="1" applyBorder="1" applyProtection="1"/>
    <xf numFmtId="3" fontId="6" fillId="0" borderId="13" xfId="0" applyNumberFormat="1" applyFont="1" applyFill="1" applyBorder="1" applyProtection="1"/>
    <xf numFmtId="3" fontId="6" fillId="0" borderId="48" xfId="0" applyNumberFormat="1" applyFont="1" applyFill="1" applyBorder="1" applyProtection="1"/>
    <xf numFmtId="3" fontId="6" fillId="0" borderId="49" xfId="0" applyNumberFormat="1" applyFont="1" applyFill="1" applyBorder="1" applyProtection="1"/>
    <xf numFmtId="164" fontId="6" fillId="2" borderId="0" xfId="0" applyNumberFormat="1" applyFont="1" applyFill="1" applyProtection="1"/>
    <xf numFmtId="164" fontId="6" fillId="0" borderId="47" xfId="0" applyNumberFormat="1" applyFont="1" applyFill="1" applyBorder="1" applyProtection="1"/>
    <xf numFmtId="164" fontId="6" fillId="0" borderId="13" xfId="0" applyNumberFormat="1" applyFont="1" applyFill="1" applyBorder="1" applyProtection="1"/>
    <xf numFmtId="164" fontId="6" fillId="0" borderId="48" xfId="0" applyNumberFormat="1" applyFont="1" applyFill="1" applyBorder="1" applyProtection="1"/>
    <xf numFmtId="164" fontId="6" fillId="0" borderId="49" xfId="0" applyNumberFormat="1" applyFont="1" applyFill="1" applyBorder="1" applyProtection="1"/>
    <xf numFmtId="164" fontId="6" fillId="0" borderId="8" xfId="0" applyNumberFormat="1" applyFont="1" applyFill="1" applyBorder="1" applyProtection="1"/>
    <xf numFmtId="164" fontId="6" fillId="0" borderId="0" xfId="0" applyNumberFormat="1" applyFont="1" applyFill="1" applyBorder="1" applyProtection="1"/>
    <xf numFmtId="164" fontId="6" fillId="0" borderId="36" xfId="0" applyNumberFormat="1" applyFont="1" applyFill="1" applyBorder="1" applyProtection="1"/>
    <xf numFmtId="164" fontId="6" fillId="0" borderId="37" xfId="0" applyNumberFormat="1" applyFont="1" applyFill="1" applyBorder="1" applyProtection="1"/>
    <xf numFmtId="164" fontId="6" fillId="0" borderId="40" xfId="0" applyNumberFormat="1" applyFont="1" applyFill="1" applyBorder="1" applyProtection="1"/>
    <xf numFmtId="164" fontId="6" fillId="0" borderId="1" xfId="0" applyNumberFormat="1" applyFont="1" applyFill="1" applyBorder="1" applyProtection="1"/>
    <xf numFmtId="164" fontId="6" fillId="0" borderId="50" xfId="0" applyNumberFormat="1" applyFont="1" applyFill="1" applyBorder="1" applyProtection="1"/>
    <xf numFmtId="164" fontId="6" fillId="0" borderId="42" xfId="0" applyNumberFormat="1" applyFont="1" applyFill="1" applyBorder="1" applyProtection="1"/>
    <xf numFmtId="0" fontId="2" fillId="2" borderId="19" xfId="0" applyFont="1" applyFill="1" applyBorder="1" applyAlignment="1" applyProtection="1">
      <alignment horizontal="center"/>
    </xf>
    <xf numFmtId="0" fontId="11" fillId="0" borderId="0" xfId="0" applyFont="1" applyAlignment="1"/>
    <xf numFmtId="0" fontId="10" fillId="2" borderId="0" xfId="0" applyFont="1" applyFill="1" applyAlignment="1" applyProtection="1">
      <alignment horizontal="center"/>
    </xf>
    <xf numFmtId="165" fontId="1" fillId="0" borderId="1" xfId="0" applyNumberFormat="1" applyFont="1" applyBorder="1" applyAlignment="1">
      <alignment horizontal="center"/>
    </xf>
    <xf numFmtId="0" fontId="1" fillId="0" borderId="0" xfId="0" applyNumberFormat="1" applyFont="1" applyAlignment="1">
      <alignment horizontal="center"/>
    </xf>
    <xf numFmtId="164" fontId="2" fillId="4" borderId="2" xfId="0" applyNumberFormat="1" applyFont="1" applyFill="1" applyBorder="1" applyAlignment="1" applyProtection="1">
      <alignment horizontal="center"/>
    </xf>
    <xf numFmtId="0" fontId="14" fillId="0" borderId="0" xfId="0" applyFont="1"/>
    <xf numFmtId="0" fontId="15" fillId="0" borderId="0" xfId="1" applyFont="1" applyAlignment="1" applyProtection="1"/>
    <xf numFmtId="0" fontId="16" fillId="0" borderId="0" xfId="0" applyFont="1"/>
    <xf numFmtId="165" fontId="6" fillId="4" borderId="0" xfId="0" applyNumberFormat="1" applyFont="1" applyFill="1"/>
    <xf numFmtId="165" fontId="6" fillId="4" borderId="0" xfId="0" applyNumberFormat="1" applyFont="1" applyFill="1" applyBorder="1"/>
    <xf numFmtId="3" fontId="10" fillId="0" borderId="0" xfId="0" applyNumberFormat="1" applyFont="1" applyFill="1" applyAlignment="1" applyProtection="1">
      <alignment horizontal="center"/>
    </xf>
    <xf numFmtId="0" fontId="17" fillId="0" borderId="0" xfId="0" applyFont="1"/>
    <xf numFmtId="0" fontId="18" fillId="0" borderId="0" xfId="0" applyFont="1"/>
    <xf numFmtId="0" fontId="1" fillId="0" borderId="0" xfId="0" applyFont="1" applyFill="1" applyProtection="1"/>
    <xf numFmtId="0" fontId="0" fillId="0" borderId="0" xfId="0" applyFill="1"/>
    <xf numFmtId="0" fontId="10" fillId="0" borderId="0" xfId="0" applyFont="1" applyFill="1" applyProtection="1"/>
    <xf numFmtId="0" fontId="6" fillId="0" borderId="0" xfId="0" applyFont="1" applyFill="1" applyProtection="1"/>
    <xf numFmtId="15" fontId="8" fillId="0" borderId="0" xfId="0" applyNumberFormat="1" applyFont="1" applyFill="1" applyProtection="1"/>
    <xf numFmtId="0" fontId="8" fillId="0" borderId="0" xfId="0" applyFont="1" applyFill="1" applyProtection="1"/>
    <xf numFmtId="0" fontId="9" fillId="0" borderId="0" xfId="0" applyFont="1" applyFill="1" applyProtection="1"/>
    <xf numFmtId="0" fontId="10" fillId="0" borderId="0" xfId="0" applyFont="1" applyFill="1" applyAlignment="1" applyProtection="1">
      <alignment horizontal="center"/>
    </xf>
    <xf numFmtId="0" fontId="2" fillId="0" borderId="0" xfId="0" applyFont="1" applyFill="1" applyAlignment="1" applyProtection="1">
      <alignment horizontal="center"/>
    </xf>
    <xf numFmtId="0" fontId="1" fillId="0" borderId="0" xfId="0" applyFont="1" applyFill="1" applyAlignment="1" applyProtection="1">
      <alignment horizontal="center"/>
    </xf>
    <xf numFmtId="0" fontId="2" fillId="0" borderId="0" xfId="0" applyFont="1" applyFill="1" applyProtection="1"/>
    <xf numFmtId="0" fontId="2" fillId="0" borderId="36" xfId="0" applyFont="1" applyFill="1" applyBorder="1" applyProtection="1"/>
    <xf numFmtId="0" fontId="2" fillId="0" borderId="36" xfId="0" applyFont="1" applyFill="1" applyBorder="1" applyAlignment="1" applyProtection="1">
      <alignment horizontal="center"/>
    </xf>
    <xf numFmtId="0" fontId="6" fillId="0" borderId="36" xfId="0" applyFont="1" applyFill="1" applyBorder="1" applyProtection="1"/>
    <xf numFmtId="0" fontId="6" fillId="0" borderId="47" xfId="0" applyFont="1" applyFill="1" applyBorder="1" applyProtection="1"/>
    <xf numFmtId="0" fontId="6" fillId="0" borderId="13" xfId="0" applyFont="1" applyFill="1" applyBorder="1" applyProtection="1"/>
    <xf numFmtId="0" fontId="6" fillId="0" borderId="48" xfId="0" applyFont="1" applyFill="1" applyBorder="1" applyProtection="1"/>
    <xf numFmtId="0" fontId="6" fillId="0" borderId="49" xfId="0" applyFont="1" applyFill="1" applyBorder="1" applyProtection="1"/>
    <xf numFmtId="3" fontId="10" fillId="0" borderId="0" xfId="0" applyNumberFormat="1" applyFont="1" applyFill="1" applyProtection="1"/>
    <xf numFmtId="3" fontId="10" fillId="0" borderId="0" xfId="0" applyNumberFormat="1" applyFont="1" applyFill="1" applyBorder="1" applyProtection="1"/>
    <xf numFmtId="0" fontId="6" fillId="0" borderId="8" xfId="0" applyFont="1" applyFill="1" applyBorder="1" applyProtection="1"/>
    <xf numFmtId="0" fontId="6" fillId="0" borderId="37" xfId="0" applyFont="1" applyFill="1" applyBorder="1" applyProtection="1"/>
    <xf numFmtId="1" fontId="6" fillId="0" borderId="43" xfId="0" applyNumberFormat="1" applyFont="1" applyFill="1" applyBorder="1" applyProtection="1"/>
    <xf numFmtId="0" fontId="7" fillId="0" borderId="0" xfId="0" applyFont="1" applyFill="1" applyProtection="1"/>
    <xf numFmtId="164" fontId="10" fillId="0" borderId="0" xfId="0" applyNumberFormat="1" applyFont="1" applyFill="1" applyProtection="1"/>
    <xf numFmtId="164" fontId="6" fillId="0" borderId="0" xfId="0" applyNumberFormat="1" applyFont="1" applyFill="1" applyProtection="1"/>
    <xf numFmtId="0" fontId="14" fillId="0" borderId="0" xfId="0" quotePrefix="1" applyFont="1" applyFill="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76838810641629"/>
          <c:y val="4.2016806722689079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7.6682433310154591E-2"/>
          <c:y val="0.23109291108544328"/>
          <c:w val="0.90140982829895999"/>
          <c:h val="0.59663987952968989"/>
        </c:manualLayout>
      </c:layout>
      <c:lineChart>
        <c:grouping val="standard"/>
        <c:varyColors val="0"/>
        <c:ser>
          <c:idx val="0"/>
          <c:order val="0"/>
          <c:tx>
            <c:strRef>
              <c:f>'3.8 Long-term Model'!$A$62</c:f>
              <c:strCache>
                <c:ptCount val="1"/>
                <c:pt idx="0">
                  <c:v>  General Admission Revenues/Total Expenditures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Model'!$B$62:$E$62,'3.8 Long-term Model'!$G$62:$P$62)</c:f>
              <c:numCache>
                <c:formatCode>0.0%</c:formatCode>
                <c:ptCount val="14"/>
                <c:pt idx="0">
                  <c:v>8.3560275445053428E-2</c:v>
                </c:pt>
                <c:pt idx="1">
                  <c:v>8.5956814227929099E-2</c:v>
                </c:pt>
                <c:pt idx="2">
                  <c:v>7.9021607141446043E-2</c:v>
                </c:pt>
                <c:pt idx="3">
                  <c:v>7.4021332242987362E-2</c:v>
                </c:pt>
                <c:pt idx="4">
                  <c:v>7.2286317617854673E-2</c:v>
                </c:pt>
                <c:pt idx="5">
                  <c:v>7.0569506354625527E-2</c:v>
                </c:pt>
                <c:pt idx="6">
                  <c:v>6.8870817208306165E-2</c:v>
                </c:pt>
                <c:pt idx="7">
                  <c:v>6.7190194994978844E-2</c:v>
                </c:pt>
                <c:pt idx="8">
                  <c:v>6.5527611048836781E-2</c:v>
                </c:pt>
                <c:pt idx="9">
                  <c:v>6.3883063580798413E-2</c:v>
                </c:pt>
                <c:pt idx="10">
                  <c:v>6.2256577926078631E-2</c:v>
                </c:pt>
                <c:pt idx="11">
                  <c:v>6.0648206668011358E-2</c:v>
                </c:pt>
                <c:pt idx="12">
                  <c:v>5.9058029625513993E-2</c:v>
                </c:pt>
                <c:pt idx="13">
                  <c:v>5.7486153691881613E-2</c:v>
                </c:pt>
              </c:numCache>
            </c:numRef>
          </c:val>
          <c:smooth val="0"/>
          <c:extLst>
            <c:ext xmlns:c16="http://schemas.microsoft.com/office/drawing/2014/chart" uri="{C3380CC4-5D6E-409C-BE32-E72D297353CC}">
              <c16:uniqueId val="{00000000-7919-41CA-AAFC-171F1EB35327}"/>
            </c:ext>
          </c:extLst>
        </c:ser>
        <c:dLbls>
          <c:showLegendKey val="0"/>
          <c:showVal val="0"/>
          <c:showCatName val="0"/>
          <c:showSerName val="0"/>
          <c:showPercent val="0"/>
          <c:showBubbleSize val="0"/>
        </c:dLbls>
        <c:marker val="1"/>
        <c:smooth val="0"/>
        <c:axId val="462925184"/>
        <c:axId val="462935936"/>
      </c:lineChart>
      <c:catAx>
        <c:axId val="46292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62935936"/>
        <c:crosses val="autoZero"/>
        <c:auto val="1"/>
        <c:lblAlgn val="ctr"/>
        <c:lblOffset val="100"/>
        <c:tickLblSkip val="1"/>
        <c:tickMarkSkip val="1"/>
        <c:noMultiLvlLbl val="0"/>
      </c:catAx>
      <c:valAx>
        <c:axId val="462935936"/>
        <c:scaling>
          <c:orientation val="minMax"/>
          <c:min val="0.05"/>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6292518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76838810641629"/>
          <c:y val="3.6231884057971023E-2"/>
        </c:manualLayout>
      </c:layout>
      <c:overlay val="0"/>
      <c:spPr>
        <a:noFill/>
        <a:ln w="25400">
          <a:noFill/>
        </a:ln>
      </c:spPr>
      <c:txPr>
        <a:bodyPr/>
        <a:lstStyle/>
        <a:p>
          <a:pPr>
            <a:defRPr sz="9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1377276165878337E-2"/>
          <c:y val="0.21376887231400135"/>
          <c:w val="0.89671498544323613"/>
          <c:h val="0.62681381203935993"/>
        </c:manualLayout>
      </c:layout>
      <c:lineChart>
        <c:grouping val="standard"/>
        <c:varyColors val="0"/>
        <c:ser>
          <c:idx val="0"/>
          <c:order val="0"/>
          <c:tx>
            <c:strRef>
              <c:f>'3.8 Long-term Model'!$A$63</c:f>
              <c:strCache>
                <c:ptCount val="1"/>
                <c:pt idx="0">
                  <c:v>  Municipal Appropriations/Total Expenditures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Model'!$B$63:$E$63,'3.8 Long-term Model'!$G$63:$P$63)</c:f>
              <c:numCache>
                <c:formatCode>0.0%</c:formatCode>
                <c:ptCount val="14"/>
                <c:pt idx="0">
                  <c:v>6.9633562870877852E-2</c:v>
                </c:pt>
                <c:pt idx="1">
                  <c:v>8.3032160419685128E-2</c:v>
                </c:pt>
                <c:pt idx="2">
                  <c:v>8.5606741069899878E-2</c:v>
                </c:pt>
                <c:pt idx="3">
                  <c:v>7.6371215806256804E-2</c:v>
                </c:pt>
                <c:pt idx="4">
                  <c:v>7.5319548295831609E-2</c:v>
                </c:pt>
                <c:pt idx="5">
                  <c:v>7.4258724039471785E-2</c:v>
                </c:pt>
                <c:pt idx="6">
                  <c:v>7.3188768124665488E-2</c:v>
                </c:pt>
                <c:pt idx="7">
                  <c:v>7.2109735170612074E-2</c:v>
                </c:pt>
                <c:pt idx="8">
                  <c:v>7.1021711229873233E-2</c:v>
                </c:pt>
                <c:pt idx="9">
                  <c:v>6.992481565297412E-2</c:v>
                </c:pt>
                <c:pt idx="10">
                  <c:v>6.8819202896503742E-2</c:v>
                </c:pt>
                <c:pt idx="11">
                  <c:v>6.7705064253814881E-2</c:v>
                </c:pt>
                <c:pt idx="12">
                  <c:v>6.6582629486112488E-2</c:v>
                </c:pt>
                <c:pt idx="13">
                  <c:v>6.5452168330588367E-2</c:v>
                </c:pt>
              </c:numCache>
            </c:numRef>
          </c:val>
          <c:smooth val="0"/>
          <c:extLst>
            <c:ext xmlns:c16="http://schemas.microsoft.com/office/drawing/2014/chart" uri="{C3380CC4-5D6E-409C-BE32-E72D297353CC}">
              <c16:uniqueId val="{00000000-B907-4D91-9E4F-B0E289885F4D}"/>
            </c:ext>
          </c:extLst>
        </c:ser>
        <c:dLbls>
          <c:showLegendKey val="0"/>
          <c:showVal val="0"/>
          <c:showCatName val="0"/>
          <c:showSerName val="0"/>
          <c:showPercent val="0"/>
          <c:showBubbleSize val="0"/>
        </c:dLbls>
        <c:marker val="1"/>
        <c:smooth val="0"/>
        <c:axId val="462944896"/>
        <c:axId val="478623232"/>
      </c:lineChart>
      <c:catAx>
        <c:axId val="46294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imes New Roman"/>
                <a:ea typeface="Times New Roman"/>
                <a:cs typeface="Times New Roman"/>
              </a:defRPr>
            </a:pPr>
            <a:endParaRPr lang="en-US"/>
          </a:p>
        </c:txPr>
        <c:crossAx val="478623232"/>
        <c:crosses val="autoZero"/>
        <c:auto val="1"/>
        <c:lblAlgn val="ctr"/>
        <c:lblOffset val="100"/>
        <c:tickLblSkip val="1"/>
        <c:tickMarkSkip val="1"/>
        <c:noMultiLvlLbl val="0"/>
      </c:catAx>
      <c:valAx>
        <c:axId val="478623232"/>
        <c:scaling>
          <c:orientation val="minMax"/>
          <c:min val="0.05"/>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imes New Roman"/>
                <a:ea typeface="Times New Roman"/>
                <a:cs typeface="Times New Roman"/>
              </a:defRPr>
            </a:pPr>
            <a:endParaRPr lang="en-US"/>
          </a:p>
        </c:txPr>
        <c:crossAx val="46294489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546875000000001"/>
          <c:y val="4.0485829959514177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5937565565159302E-2"/>
          <c:y val="0.22672109596623541"/>
          <c:w val="0.89218818068556249"/>
          <c:h val="0.60728864990955911"/>
        </c:manualLayout>
      </c:layout>
      <c:lineChart>
        <c:grouping val="standard"/>
        <c:varyColors val="0"/>
        <c:ser>
          <c:idx val="0"/>
          <c:order val="0"/>
          <c:tx>
            <c:strRef>
              <c:f>'3.8 Long-term Model'!$A$64</c:f>
              <c:strCache>
                <c:ptCount val="1"/>
                <c:pt idx="0">
                  <c:v>  Foundation Grants/Total Expenditures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Model'!$B$64:$E$64,'3.8 Long-term Model'!$G$64:$P$64)</c:f>
              <c:numCache>
                <c:formatCode>0.0%</c:formatCode>
                <c:ptCount val="14"/>
                <c:pt idx="0">
                  <c:v>8.8624534562935453E-2</c:v>
                </c:pt>
                <c:pt idx="1">
                  <c:v>3.2316616665679213E-2</c:v>
                </c:pt>
                <c:pt idx="2">
                  <c:v>8.231417410567296E-2</c:v>
                </c:pt>
                <c:pt idx="3">
                  <c:v>0.12924359597981919</c:v>
                </c:pt>
                <c:pt idx="4">
                  <c:v>0.13121278775518175</c:v>
                </c:pt>
                <c:pt idx="5">
                  <c:v>0.13316959095446931</c:v>
                </c:pt>
                <c:pt idx="6">
                  <c:v>0.13511113672828506</c:v>
                </c:pt>
                <c:pt idx="7">
                  <c:v>0.13703444282833488</c:v>
                </c:pt>
                <c:pt idx="8">
                  <c:v>0.13893641779295543</c:v>
                </c:pt>
                <c:pt idx="9">
                  <c:v>0.14081386612370569</c:v>
                </c:pt>
                <c:pt idx="10">
                  <c:v>0.14266349450267543</c:v>
                </c:pt>
                <c:pt idx="11">
                  <c:v>0.14448191909357158</c:v>
                </c:pt>
                <c:pt idx="12">
                  <c:v>0.14626567396160908</c:v>
                </c:pt>
                <c:pt idx="13">
                  <c:v>0.14801122063771374</c:v>
                </c:pt>
              </c:numCache>
            </c:numRef>
          </c:val>
          <c:smooth val="0"/>
          <c:extLst>
            <c:ext xmlns:c16="http://schemas.microsoft.com/office/drawing/2014/chart" uri="{C3380CC4-5D6E-409C-BE32-E72D297353CC}">
              <c16:uniqueId val="{00000000-5D07-4BFC-9E88-60C5712CDFD0}"/>
            </c:ext>
          </c:extLst>
        </c:ser>
        <c:dLbls>
          <c:showLegendKey val="0"/>
          <c:showVal val="0"/>
          <c:showCatName val="0"/>
          <c:showSerName val="0"/>
          <c:showPercent val="0"/>
          <c:showBubbleSize val="0"/>
        </c:dLbls>
        <c:marker val="1"/>
        <c:smooth val="0"/>
        <c:axId val="478667904"/>
        <c:axId val="478676096"/>
      </c:lineChart>
      <c:catAx>
        <c:axId val="478667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676096"/>
        <c:crosses val="autoZero"/>
        <c:auto val="1"/>
        <c:lblAlgn val="ctr"/>
        <c:lblOffset val="100"/>
        <c:tickLblSkip val="1"/>
        <c:tickMarkSkip val="1"/>
        <c:noMultiLvlLbl val="0"/>
      </c:catAx>
      <c:valAx>
        <c:axId val="478676096"/>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6679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5054773082942098"/>
          <c:y val="4.065040650406504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6072119021602084E-2"/>
          <c:y val="0.22357812332524818"/>
          <c:w val="0.89202014258751261"/>
          <c:h val="0.609758518159768"/>
        </c:manualLayout>
      </c:layout>
      <c:lineChart>
        <c:grouping val="standard"/>
        <c:varyColors val="0"/>
        <c:ser>
          <c:idx val="0"/>
          <c:order val="0"/>
          <c:tx>
            <c:strRef>
              <c:f>'3.8 Long-term Model'!$A$65</c:f>
              <c:strCache>
                <c:ptCount val="1"/>
                <c:pt idx="0">
                  <c:v>  Government Grants/Total Expenditures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Model'!$B$65:$E$65,'3.8 Long-term Model'!$G$65:$P$65)</c:f>
              <c:numCache>
                <c:formatCode>0.0%</c:formatCode>
                <c:ptCount val="14"/>
                <c:pt idx="0">
                  <c:v>9.4954858460287977E-2</c:v>
                </c:pt>
                <c:pt idx="1">
                  <c:v>0.12256615480736603</c:v>
                </c:pt>
                <c:pt idx="2">
                  <c:v>0.17318902231833591</c:v>
                </c:pt>
                <c:pt idx="3">
                  <c:v>0.1532124083251675</c:v>
                </c:pt>
                <c:pt idx="4">
                  <c:v>0.15110260150425295</c:v>
                </c:pt>
                <c:pt idx="5">
                  <c:v>0.14897442484226342</c:v>
                </c:pt>
                <c:pt idx="6">
                  <c:v>0.14682792866855965</c:v>
                </c:pt>
                <c:pt idx="7">
                  <c:v>0.1446632225576587</c:v>
                </c:pt>
                <c:pt idx="8">
                  <c:v>0.14248047914423798</c:v>
                </c:pt>
                <c:pt idx="9">
                  <c:v>0.14027993786381265</c:v>
                </c:pt>
                <c:pt idx="10">
                  <c:v>0.13806190858006287</c:v>
                </c:pt>
                <c:pt idx="11">
                  <c:v>0.13582677505688398</c:v>
                </c:pt>
                <c:pt idx="12">
                  <c:v>0.13357499823060101</c:v>
                </c:pt>
                <c:pt idx="13">
                  <c:v>0.13130711923551877</c:v>
                </c:pt>
              </c:numCache>
            </c:numRef>
          </c:val>
          <c:smooth val="0"/>
          <c:extLst>
            <c:ext xmlns:c16="http://schemas.microsoft.com/office/drawing/2014/chart" uri="{C3380CC4-5D6E-409C-BE32-E72D297353CC}">
              <c16:uniqueId val="{00000000-1D9E-491A-A590-0E1E2D0457B7}"/>
            </c:ext>
          </c:extLst>
        </c:ser>
        <c:dLbls>
          <c:showLegendKey val="0"/>
          <c:showVal val="0"/>
          <c:showCatName val="0"/>
          <c:showSerName val="0"/>
          <c:showPercent val="0"/>
          <c:showBubbleSize val="0"/>
        </c:dLbls>
        <c:marker val="1"/>
        <c:smooth val="0"/>
        <c:axId val="478688384"/>
        <c:axId val="478690688"/>
      </c:lineChart>
      <c:catAx>
        <c:axId val="47868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690688"/>
        <c:crosses val="autoZero"/>
        <c:auto val="1"/>
        <c:lblAlgn val="ctr"/>
        <c:lblOffset val="100"/>
        <c:tickLblSkip val="1"/>
        <c:tickMarkSkip val="1"/>
        <c:noMultiLvlLbl val="0"/>
      </c:catAx>
      <c:valAx>
        <c:axId val="478690688"/>
        <c:scaling>
          <c:orientation val="minMax"/>
          <c:min val="0.05"/>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68838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0829420970266047"/>
          <c:y val="3.8626609442060089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6072119021602084E-2"/>
          <c:y val="0.23605150214592274"/>
          <c:w val="0.89202014258751261"/>
          <c:h val="0.58798283261802575"/>
        </c:manualLayout>
      </c:layout>
      <c:lineChart>
        <c:grouping val="standard"/>
        <c:varyColors val="0"/>
        <c:ser>
          <c:idx val="0"/>
          <c:order val="0"/>
          <c:tx>
            <c:strRef>
              <c:f>'3.8 Long-term Model'!$A$66</c:f>
              <c:strCache>
                <c:ptCount val="1"/>
                <c:pt idx="0">
                  <c:v>  Weather Services Revenues/Weather Services Costs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Model'!$C$66:$E$66,'3.8 Long-term Model'!$G$66:$P$66)</c:f>
              <c:numCache>
                <c:formatCode>0.0%</c:formatCode>
                <c:ptCount val="13"/>
                <c:pt idx="0">
                  <c:v>0.63134461264470165</c:v>
                </c:pt>
                <c:pt idx="1">
                  <c:v>0.59678729506158512</c:v>
                </c:pt>
                <c:pt idx="2">
                  <c:v>0.85409720283166068</c:v>
                </c:pt>
                <c:pt idx="3">
                  <c:v>0.85409720283166068</c:v>
                </c:pt>
                <c:pt idx="4">
                  <c:v>0.85409720283166068</c:v>
                </c:pt>
                <c:pt idx="5">
                  <c:v>0.85409720283166068</c:v>
                </c:pt>
                <c:pt idx="6">
                  <c:v>0.85409720283166068</c:v>
                </c:pt>
                <c:pt idx="7">
                  <c:v>0.85409720283166068</c:v>
                </c:pt>
                <c:pt idx="8">
                  <c:v>0.85409720283166068</c:v>
                </c:pt>
                <c:pt idx="9">
                  <c:v>0.8540972028316608</c:v>
                </c:pt>
                <c:pt idx="10">
                  <c:v>0.8540972028316608</c:v>
                </c:pt>
                <c:pt idx="11">
                  <c:v>0.85409720283166057</c:v>
                </c:pt>
                <c:pt idx="12">
                  <c:v>0.85409720283166057</c:v>
                </c:pt>
              </c:numCache>
            </c:numRef>
          </c:val>
          <c:smooth val="0"/>
          <c:extLst>
            <c:ext xmlns:c16="http://schemas.microsoft.com/office/drawing/2014/chart" uri="{C3380CC4-5D6E-409C-BE32-E72D297353CC}">
              <c16:uniqueId val="{00000000-3BB3-406F-9F9A-A29DA7A83AA1}"/>
            </c:ext>
          </c:extLst>
        </c:ser>
        <c:dLbls>
          <c:showLegendKey val="0"/>
          <c:showVal val="0"/>
          <c:showCatName val="0"/>
          <c:showSerName val="0"/>
          <c:showPercent val="0"/>
          <c:showBubbleSize val="0"/>
        </c:dLbls>
        <c:marker val="1"/>
        <c:smooth val="0"/>
        <c:axId val="478702976"/>
        <c:axId val="478709248"/>
      </c:lineChart>
      <c:catAx>
        <c:axId val="478702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09248"/>
        <c:crosses val="autoZero"/>
        <c:auto val="1"/>
        <c:lblAlgn val="ctr"/>
        <c:lblOffset val="100"/>
        <c:tickLblSkip val="1"/>
        <c:tickMarkSkip val="1"/>
        <c:noMultiLvlLbl val="0"/>
      </c:catAx>
      <c:valAx>
        <c:axId val="478709248"/>
        <c:scaling>
          <c:orientation val="minMax"/>
          <c:min val="0.5"/>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0297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0974842767295602"/>
          <c:y val="4.1322314049586792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9.5912096956222007E-2"/>
          <c:y val="0.22727272727272727"/>
          <c:w val="0.8820768261055828"/>
          <c:h val="0.60330578512396682"/>
        </c:manualLayout>
      </c:layout>
      <c:lineChart>
        <c:grouping val="standard"/>
        <c:varyColors val="0"/>
        <c:ser>
          <c:idx val="0"/>
          <c:order val="0"/>
          <c:tx>
            <c:strRef>
              <c:f>'3.8 Long-term Model'!$A$67</c:f>
              <c:strCache>
                <c:ptCount val="1"/>
                <c:pt idx="0">
                  <c:v>  School ServicesRevenues/Cost of School Programs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Model'!$C$7:$E$7,'3.8 Long-term Model'!$G$8:$P$8)</c:f>
              <c:numCache>
                <c:formatCode>General</c:formatCode>
                <c:ptCount val="13"/>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numCache>
            </c:numRef>
          </c:cat>
          <c:val>
            <c:numRef>
              <c:f>('3.8 Long-term Model'!$C$67:$E$67,'3.8 Long-term Model'!$G$67:$P$67)</c:f>
              <c:numCache>
                <c:formatCode>0.0%</c:formatCode>
                <c:ptCount val="13"/>
                <c:pt idx="0">
                  <c:v>0.92904528003613374</c:v>
                </c:pt>
                <c:pt idx="1">
                  <c:v>1.2139302013026334</c:v>
                </c:pt>
                <c:pt idx="2">
                  <c:v>1.0227272727272727</c:v>
                </c:pt>
                <c:pt idx="3">
                  <c:v>1.0227272727272727</c:v>
                </c:pt>
                <c:pt idx="4">
                  <c:v>1.0227272727272729</c:v>
                </c:pt>
                <c:pt idx="5">
                  <c:v>1.0227272727272729</c:v>
                </c:pt>
                <c:pt idx="6">
                  <c:v>1.0227272727272727</c:v>
                </c:pt>
                <c:pt idx="7">
                  <c:v>1.0227272727272727</c:v>
                </c:pt>
                <c:pt idx="8">
                  <c:v>1.0227272727272727</c:v>
                </c:pt>
                <c:pt idx="9">
                  <c:v>1.0227272727272727</c:v>
                </c:pt>
                <c:pt idx="10">
                  <c:v>1.0227272727272727</c:v>
                </c:pt>
                <c:pt idx="11">
                  <c:v>1.0227272727272727</c:v>
                </c:pt>
                <c:pt idx="12">
                  <c:v>1.0227272727272729</c:v>
                </c:pt>
              </c:numCache>
            </c:numRef>
          </c:val>
          <c:smooth val="0"/>
          <c:extLst>
            <c:ext xmlns:c16="http://schemas.microsoft.com/office/drawing/2014/chart" uri="{C3380CC4-5D6E-409C-BE32-E72D297353CC}">
              <c16:uniqueId val="{00000000-1D05-40B4-81D1-8B41564A06A9}"/>
            </c:ext>
          </c:extLst>
        </c:ser>
        <c:dLbls>
          <c:showLegendKey val="0"/>
          <c:showVal val="0"/>
          <c:showCatName val="0"/>
          <c:showSerName val="0"/>
          <c:showPercent val="0"/>
          <c:showBubbleSize val="0"/>
        </c:dLbls>
        <c:marker val="1"/>
        <c:smooth val="0"/>
        <c:axId val="478717440"/>
        <c:axId val="478724480"/>
      </c:lineChart>
      <c:catAx>
        <c:axId val="478717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24480"/>
        <c:crosses val="autoZero"/>
        <c:auto val="1"/>
        <c:lblAlgn val="ctr"/>
        <c:lblOffset val="100"/>
        <c:tickLblSkip val="1"/>
        <c:tickMarkSkip val="1"/>
        <c:noMultiLvlLbl val="0"/>
      </c:catAx>
      <c:valAx>
        <c:axId val="478724480"/>
        <c:scaling>
          <c:orientation val="minMax"/>
          <c:min val="0.5"/>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1744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194968553459127"/>
          <c:y val="4.2553191489361708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9.5912096956222007E-2"/>
          <c:y val="0.23404303948437397"/>
          <c:w val="0.8820768261055828"/>
          <c:h val="0.59149059069687238"/>
        </c:manualLayout>
      </c:layout>
      <c:lineChart>
        <c:grouping val="standard"/>
        <c:varyColors val="0"/>
        <c:ser>
          <c:idx val="0"/>
          <c:order val="0"/>
          <c:tx>
            <c:strRef>
              <c:f>'3.8 Long-term Model'!$A$68</c:f>
              <c:strCache>
                <c:ptCount val="1"/>
                <c:pt idx="0">
                  <c:v>  Shop Sales/Shop Costs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Model'!$C$7:$E$7,'3.8 Long-term Model'!$G$8:$P$8)</c:f>
              <c:numCache>
                <c:formatCode>General</c:formatCode>
                <c:ptCount val="13"/>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numCache>
            </c:numRef>
          </c:cat>
          <c:val>
            <c:numRef>
              <c:f>('3.8 Long-term Model'!$C$68:$E$68,'3.8 Long-term Model'!$G$68:$P$68)</c:f>
              <c:numCache>
                <c:formatCode>0.0%</c:formatCode>
                <c:ptCount val="13"/>
                <c:pt idx="0">
                  <c:v>1.3167920047496537</c:v>
                </c:pt>
                <c:pt idx="1">
                  <c:v>1.3042811109406169</c:v>
                </c:pt>
                <c:pt idx="2">
                  <c:v>1.2993545142090703</c:v>
                </c:pt>
                <c:pt idx="3">
                  <c:v>1.3498148836929176</c:v>
                </c:pt>
                <c:pt idx="4">
                  <c:v>1.4022348791761376</c:v>
                </c:pt>
                <c:pt idx="5">
                  <c:v>1.456690602639289</c:v>
                </c:pt>
                <c:pt idx="6">
                  <c:v>1.5132611114796497</c:v>
                </c:pt>
                <c:pt idx="7">
                  <c:v>1.5720285332846846</c:v>
                </c:pt>
                <c:pt idx="8">
                  <c:v>1.6330781850627307</c:v>
                </c:pt>
                <c:pt idx="9">
                  <c:v>1.6964986971040017</c:v>
                </c:pt>
                <c:pt idx="10">
                  <c:v>1.76238214165173</c:v>
                </c:pt>
                <c:pt idx="11">
                  <c:v>1.8308241665702438</c:v>
                </c:pt>
                <c:pt idx="12">
                  <c:v>1.9019241342040398</c:v>
                </c:pt>
              </c:numCache>
            </c:numRef>
          </c:val>
          <c:smooth val="0"/>
          <c:extLst>
            <c:ext xmlns:c16="http://schemas.microsoft.com/office/drawing/2014/chart" uri="{C3380CC4-5D6E-409C-BE32-E72D297353CC}">
              <c16:uniqueId val="{00000000-0472-4962-A7E9-AF1C243ECE45}"/>
            </c:ext>
          </c:extLst>
        </c:ser>
        <c:dLbls>
          <c:showLegendKey val="0"/>
          <c:showVal val="0"/>
          <c:showCatName val="0"/>
          <c:showSerName val="0"/>
          <c:showPercent val="0"/>
          <c:showBubbleSize val="0"/>
        </c:dLbls>
        <c:marker val="1"/>
        <c:smooth val="0"/>
        <c:axId val="478734976"/>
        <c:axId val="478737152"/>
      </c:lineChart>
      <c:catAx>
        <c:axId val="47873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37152"/>
        <c:crosses val="autoZero"/>
        <c:auto val="1"/>
        <c:lblAlgn val="ctr"/>
        <c:lblOffset val="100"/>
        <c:tickLblSkip val="1"/>
        <c:tickMarkSkip val="1"/>
        <c:noMultiLvlLbl val="0"/>
      </c:catAx>
      <c:valAx>
        <c:axId val="478737152"/>
        <c:scaling>
          <c:orientation val="minMax"/>
          <c:min val="1"/>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7873497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0829420970266047"/>
          <c:y val="4.0485829959514177E-2"/>
        </c:manualLayout>
      </c:layout>
      <c:overlay val="0"/>
      <c:spPr>
        <a:noFill/>
        <a:ln w="25400">
          <a:noFill/>
        </a:ln>
      </c:spPr>
      <c:txPr>
        <a:bodyPr/>
        <a:lstStyle/>
        <a:p>
          <a:pPr>
            <a:defRPr sz="800"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6072119021602084E-2"/>
          <c:y val="0.22672109596623541"/>
          <c:w val="0.89202014258751261"/>
          <c:h val="0.60728864990955911"/>
        </c:manualLayout>
      </c:layout>
      <c:lineChart>
        <c:grouping val="standard"/>
        <c:varyColors val="0"/>
        <c:ser>
          <c:idx val="0"/>
          <c:order val="0"/>
          <c:tx>
            <c:strRef>
              <c:f>'3.8 Long-term Model'!$A$69</c:f>
              <c:strCache>
                <c:ptCount val="1"/>
                <c:pt idx="0">
                  <c:v>  Development and Marketing Costs/Total Revenues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Model'!$B$69:$E$69,'3.8 Long-term Model'!$G$69:$P$69)</c:f>
              <c:numCache>
                <c:formatCode>0.0%</c:formatCode>
                <c:ptCount val="14"/>
                <c:pt idx="0">
                  <c:v>4.4601583031113182E-2</c:v>
                </c:pt>
                <c:pt idx="1">
                  <c:v>0.10522021081206272</c:v>
                </c:pt>
                <c:pt idx="2">
                  <c:v>0.11448269848783039</c:v>
                </c:pt>
                <c:pt idx="3">
                  <c:v>0.13363905318491467</c:v>
                </c:pt>
                <c:pt idx="4">
                  <c:v>0.13955165010759393</c:v>
                </c:pt>
                <c:pt idx="5">
                  <c:v>0.14567946425527997</c:v>
                </c:pt>
                <c:pt idx="6">
                  <c:v>0.15202635192083955</c:v>
                </c:pt>
                <c:pt idx="7">
                  <c:v>0.15859588730663754</c:v>
                </c:pt>
                <c:pt idx="8">
                  <c:v>0.16539132876888232</c:v>
                </c:pt>
                <c:pt idx="9">
                  <c:v>0.1724155841932602</c:v>
                </c:pt>
                <c:pt idx="10">
                  <c:v>0.17967117571471156</c:v>
                </c:pt>
                <c:pt idx="11">
                  <c:v>0.18716020402474912</c:v>
                </c:pt>
                <c:pt idx="12">
                  <c:v>0.19488431254032193</c:v>
                </c:pt>
                <c:pt idx="13">
                  <c:v>0.20284465173831748</c:v>
                </c:pt>
              </c:numCache>
            </c:numRef>
          </c:val>
          <c:smooth val="0"/>
          <c:extLst>
            <c:ext xmlns:c16="http://schemas.microsoft.com/office/drawing/2014/chart" uri="{C3380CC4-5D6E-409C-BE32-E72D297353CC}">
              <c16:uniqueId val="{00000000-A363-4B5C-B011-5DC6C5672901}"/>
            </c:ext>
          </c:extLst>
        </c:ser>
        <c:dLbls>
          <c:showLegendKey val="0"/>
          <c:showVal val="0"/>
          <c:showCatName val="0"/>
          <c:showSerName val="0"/>
          <c:showPercent val="0"/>
          <c:showBubbleSize val="0"/>
        </c:dLbls>
        <c:marker val="1"/>
        <c:smooth val="0"/>
        <c:axId val="481569024"/>
        <c:axId val="481571584"/>
      </c:lineChart>
      <c:catAx>
        <c:axId val="48156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81571584"/>
        <c:crosses val="autoZero"/>
        <c:auto val="1"/>
        <c:lblAlgn val="ctr"/>
        <c:lblOffset val="100"/>
        <c:tickLblSkip val="1"/>
        <c:tickMarkSkip val="1"/>
        <c:noMultiLvlLbl val="0"/>
      </c:catAx>
      <c:valAx>
        <c:axId val="481571584"/>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815690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5825545171339557"/>
          <c:y val="3.9215686274509803E-2"/>
        </c:manualLayout>
      </c:layout>
      <c:overlay val="0"/>
      <c:spPr>
        <a:noFill/>
        <a:ln w="25400">
          <a:noFill/>
        </a:ln>
      </c:spPr>
      <c:txPr>
        <a:bodyPr/>
        <a:lstStyle/>
        <a:p>
          <a:pPr>
            <a:defRPr sz="825" b="0" i="0" u="none" strike="noStrike" baseline="0">
              <a:solidFill>
                <a:srgbClr val="000000"/>
              </a:solidFill>
              <a:latin typeface="Times New Roman"/>
              <a:ea typeface="Times New Roman"/>
              <a:cs typeface="Times New Roman"/>
            </a:defRPr>
          </a:pPr>
          <a:endParaRPr lang="en-US"/>
        </a:p>
      </c:txPr>
    </c:title>
    <c:autoTitleDeleted val="0"/>
    <c:plotArea>
      <c:layout>
        <c:manualLayout>
          <c:layoutTarget val="inner"/>
          <c:xMode val="edge"/>
          <c:yMode val="edge"/>
          <c:x val="8.5669912246142815E-2"/>
          <c:y val="0.21960868416315935"/>
          <c:w val="0.89252472212799672"/>
          <c:h val="0.61961021603177113"/>
        </c:manualLayout>
      </c:layout>
      <c:lineChart>
        <c:grouping val="standard"/>
        <c:varyColors val="0"/>
        <c:ser>
          <c:idx val="0"/>
          <c:order val="0"/>
          <c:tx>
            <c:strRef>
              <c:f>'3.8 Long-term Model'!$A$70</c:f>
              <c:strCache>
                <c:ptCount val="1"/>
                <c:pt idx="0">
                  <c:v>  Administration Costs/Total Revenues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('3.8 Long-term Model'!$B$7:$E$7,'3.8 Long-term Model'!$G$8:$P$8)</c:f>
              <c:numCache>
                <c:formatCode>General</c:formatCode>
                <c:ptCount val="14"/>
                <c:pt idx="0">
                  <c:v>2003</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numCache>
            </c:numRef>
          </c:cat>
          <c:val>
            <c:numRef>
              <c:f>('3.8 Long-term Model'!$B$70:$E$70,'3.8 Long-term Model'!$G$70:$P$70)</c:f>
              <c:numCache>
                <c:formatCode>0.0%</c:formatCode>
                <c:ptCount val="14"/>
                <c:pt idx="0">
                  <c:v>7.4076337624881181E-2</c:v>
                </c:pt>
                <c:pt idx="1">
                  <c:v>0.17738994845499642</c:v>
                </c:pt>
                <c:pt idx="2">
                  <c:v>0.14776786826436811</c:v>
                </c:pt>
                <c:pt idx="3">
                  <c:v>0.10761526766348728</c:v>
                </c:pt>
                <c:pt idx="4">
                  <c:v>0.10613335488479705</c:v>
                </c:pt>
                <c:pt idx="5">
                  <c:v>0.10463853926497385</c:v>
                </c:pt>
                <c:pt idx="6">
                  <c:v>0.10313085615499015</c:v>
                </c:pt>
                <c:pt idx="7">
                  <c:v>0.10161038251918002</c:v>
                </c:pt>
                <c:pt idx="8">
                  <c:v>0.10007723961486999</c:v>
                </c:pt>
                <c:pt idx="9">
                  <c:v>9.8531595619803153E-2</c:v>
                </c:pt>
                <c:pt idx="10">
                  <c:v>9.6973668179947237E-2</c:v>
                </c:pt>
                <c:pt idx="11">
                  <c:v>9.54037268482371E-2</c:v>
                </c:pt>
                <c:pt idx="12">
                  <c:v>9.3822095382954065E-2</c:v>
                </c:pt>
                <c:pt idx="13">
                  <c:v>9.2229153872849981E-2</c:v>
                </c:pt>
              </c:numCache>
            </c:numRef>
          </c:val>
          <c:smooth val="0"/>
          <c:extLst>
            <c:ext xmlns:c16="http://schemas.microsoft.com/office/drawing/2014/chart" uri="{C3380CC4-5D6E-409C-BE32-E72D297353CC}">
              <c16:uniqueId val="{00000000-E614-48D8-A7A4-5A65CF931F82}"/>
            </c:ext>
          </c:extLst>
        </c:ser>
        <c:dLbls>
          <c:showLegendKey val="0"/>
          <c:showVal val="0"/>
          <c:showCatName val="0"/>
          <c:showSerName val="0"/>
          <c:showPercent val="0"/>
          <c:showBubbleSize val="0"/>
        </c:dLbls>
        <c:marker val="1"/>
        <c:smooth val="0"/>
        <c:axId val="481582464"/>
        <c:axId val="481585024"/>
      </c:lineChart>
      <c:catAx>
        <c:axId val="48158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Times New Roman"/>
                <a:ea typeface="Times New Roman"/>
                <a:cs typeface="Times New Roman"/>
              </a:defRPr>
            </a:pPr>
            <a:endParaRPr lang="en-US"/>
          </a:p>
        </c:txPr>
        <c:crossAx val="481585024"/>
        <c:crosses val="autoZero"/>
        <c:auto val="1"/>
        <c:lblAlgn val="ctr"/>
        <c:lblOffset val="100"/>
        <c:tickLblSkip val="1"/>
        <c:tickMarkSkip val="1"/>
        <c:noMultiLvlLbl val="0"/>
      </c:catAx>
      <c:valAx>
        <c:axId val="481585024"/>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Times New Roman"/>
                <a:ea typeface="Times New Roman"/>
                <a:cs typeface="Times New Roman"/>
              </a:defRPr>
            </a:pPr>
            <a:endParaRPr lang="en-US"/>
          </a:p>
        </c:txPr>
        <c:crossAx val="48158246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hyperlink" Target="#'Long Term Model'!A56"/><Relationship Id="rId7" Type="http://schemas.openxmlformats.org/officeDocument/2006/relationships/hyperlink" Target="#'Long Term Model'!A26"/><Relationship Id="rId2" Type="http://schemas.openxmlformats.org/officeDocument/2006/relationships/hyperlink" Target="#'Long Term Model'!A54"/><Relationship Id="rId1" Type="http://schemas.openxmlformats.org/officeDocument/2006/relationships/hyperlink" Target="#'Long Term Model'!A52"/><Relationship Id="rId6" Type="http://schemas.openxmlformats.org/officeDocument/2006/relationships/hyperlink" Target="#'Long Term Model'!A44"/><Relationship Id="rId5" Type="http://schemas.openxmlformats.org/officeDocument/2006/relationships/hyperlink" Target="#'Long Term Model'!A57"/><Relationship Id="rId4" Type="http://schemas.openxmlformats.org/officeDocument/2006/relationships/hyperlink" Target="#'Long Term Model'!A55"/></Relationships>
</file>

<file path=xl/drawings/_rels/drawing3.xml.rels><?xml version="1.0" encoding="UTF-8" standalone="yes"?>
<Relationships xmlns="http://schemas.openxmlformats.org/package/2006/relationships"><Relationship Id="rId1" Type="http://schemas.openxmlformats.org/officeDocument/2006/relationships/hyperlink" Target="#'Influence chart'!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561975</xdr:colOff>
      <xdr:row>21</xdr:row>
      <xdr:rowOff>47625</xdr:rowOff>
    </xdr:from>
    <xdr:to>
      <xdr:col>3</xdr:col>
      <xdr:colOff>0</xdr:colOff>
      <xdr:row>23</xdr:row>
      <xdr:rowOff>76200</xdr:rowOff>
    </xdr:to>
    <xdr:sp macro="" textlink="">
      <xdr:nvSpPr>
        <xdr:cNvPr id="9238" name="Line 1"/>
        <xdr:cNvSpPr>
          <a:spLocks noChangeShapeType="1"/>
        </xdr:cNvSpPr>
      </xdr:nvSpPr>
      <xdr:spPr bwMode="auto">
        <a:xfrm>
          <a:off x="4333875" y="4943475"/>
          <a:ext cx="885825" cy="714375"/>
        </a:xfrm>
        <a:prstGeom prst="line">
          <a:avLst/>
        </a:prstGeom>
        <a:noFill/>
        <a:ln w="9525">
          <a:solidFill>
            <a:srgbClr val="000000"/>
          </a:solidFill>
          <a:round/>
          <a:headEnd/>
          <a:tailEnd type="triangle" w="med" len="med"/>
        </a:ln>
      </xdr:spPr>
    </xdr:sp>
    <xdr:clientData/>
  </xdr:twoCellAnchor>
  <xdr:twoCellAnchor>
    <xdr:from>
      <xdr:col>3</xdr:col>
      <xdr:colOff>1762125</xdr:colOff>
      <xdr:row>23</xdr:row>
      <xdr:rowOff>114300</xdr:rowOff>
    </xdr:from>
    <xdr:to>
      <xdr:col>5</xdr:col>
      <xdr:colOff>0</xdr:colOff>
      <xdr:row>23</xdr:row>
      <xdr:rowOff>133350</xdr:rowOff>
    </xdr:to>
    <xdr:sp macro="" textlink="">
      <xdr:nvSpPr>
        <xdr:cNvPr id="9239" name="Line 3"/>
        <xdr:cNvSpPr>
          <a:spLocks noChangeShapeType="1"/>
        </xdr:cNvSpPr>
      </xdr:nvSpPr>
      <xdr:spPr bwMode="auto">
        <a:xfrm>
          <a:off x="6981825" y="5695950"/>
          <a:ext cx="1552575" cy="19050"/>
        </a:xfrm>
        <a:prstGeom prst="line">
          <a:avLst/>
        </a:prstGeom>
        <a:noFill/>
        <a:ln w="9525">
          <a:solidFill>
            <a:srgbClr val="000000"/>
          </a:solidFill>
          <a:round/>
          <a:headEnd/>
          <a:tailEnd type="triangle" w="med" len="med"/>
        </a:ln>
      </xdr:spPr>
    </xdr:sp>
    <xdr:clientData/>
  </xdr:twoCellAnchor>
  <xdr:twoCellAnchor>
    <xdr:from>
      <xdr:col>2</xdr:col>
      <xdr:colOff>209550</xdr:colOff>
      <xdr:row>21</xdr:row>
      <xdr:rowOff>76200</xdr:rowOff>
    </xdr:from>
    <xdr:to>
      <xdr:col>2</xdr:col>
      <xdr:colOff>1228725</xdr:colOff>
      <xdr:row>26</xdr:row>
      <xdr:rowOff>85725</xdr:rowOff>
    </xdr:to>
    <xdr:sp macro="" textlink="">
      <xdr:nvSpPr>
        <xdr:cNvPr id="9240" name="Line 4"/>
        <xdr:cNvSpPr>
          <a:spLocks noChangeShapeType="1"/>
        </xdr:cNvSpPr>
      </xdr:nvSpPr>
      <xdr:spPr bwMode="auto">
        <a:xfrm>
          <a:off x="3981450" y="4972050"/>
          <a:ext cx="1019175" cy="1381125"/>
        </a:xfrm>
        <a:prstGeom prst="line">
          <a:avLst/>
        </a:prstGeom>
        <a:noFill/>
        <a:ln w="9525">
          <a:solidFill>
            <a:srgbClr val="000000"/>
          </a:solidFill>
          <a:round/>
          <a:headEnd/>
          <a:tailEnd type="triangle" w="med" len="med"/>
        </a:ln>
      </xdr:spPr>
    </xdr:sp>
    <xdr:clientData/>
  </xdr:twoCellAnchor>
  <xdr:twoCellAnchor>
    <xdr:from>
      <xdr:col>3</xdr:col>
      <xdr:colOff>923925</xdr:colOff>
      <xdr:row>24</xdr:row>
      <xdr:rowOff>47625</xdr:rowOff>
    </xdr:from>
    <xdr:to>
      <xdr:col>3</xdr:col>
      <xdr:colOff>1104900</xdr:colOff>
      <xdr:row>25</xdr:row>
      <xdr:rowOff>219075</xdr:rowOff>
    </xdr:to>
    <xdr:sp macro="" textlink="">
      <xdr:nvSpPr>
        <xdr:cNvPr id="9241" name="Line 5"/>
        <xdr:cNvSpPr>
          <a:spLocks noChangeShapeType="1"/>
        </xdr:cNvSpPr>
      </xdr:nvSpPr>
      <xdr:spPr bwMode="auto">
        <a:xfrm>
          <a:off x="6143625" y="5857875"/>
          <a:ext cx="180975" cy="400050"/>
        </a:xfrm>
        <a:prstGeom prst="line">
          <a:avLst/>
        </a:prstGeom>
        <a:noFill/>
        <a:ln w="9525">
          <a:solidFill>
            <a:srgbClr val="000000"/>
          </a:solidFill>
          <a:round/>
          <a:headEnd/>
          <a:tailEnd type="triangle" w="med" len="me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400050</xdr:colOff>
      <xdr:row>6</xdr:row>
      <xdr:rowOff>28575</xdr:rowOff>
    </xdr:from>
    <xdr:to>
      <xdr:col>8</xdr:col>
      <xdr:colOff>438150</xdr:colOff>
      <xdr:row>10</xdr:row>
      <xdr:rowOff>114300</xdr:rowOff>
    </xdr:to>
    <xdr:sp macro="" textlink="">
      <xdr:nvSpPr>
        <xdr:cNvPr id="12598" name="Oval 1"/>
        <xdr:cNvSpPr>
          <a:spLocks noChangeArrowheads="1"/>
        </xdr:cNvSpPr>
      </xdr:nvSpPr>
      <xdr:spPr bwMode="auto">
        <a:xfrm>
          <a:off x="3448050" y="1000125"/>
          <a:ext cx="1866900" cy="733425"/>
        </a:xfrm>
        <a:prstGeom prst="ellipse">
          <a:avLst/>
        </a:prstGeom>
        <a:solidFill>
          <a:srgbClr val="FFFFFF"/>
        </a:solidFill>
        <a:ln w="9525">
          <a:solidFill>
            <a:srgbClr val="000000"/>
          </a:solidFill>
          <a:round/>
          <a:headEnd/>
          <a:tailEnd/>
        </a:ln>
      </xdr:spPr>
    </xdr:sp>
    <xdr:clientData/>
  </xdr:twoCellAnchor>
  <xdr:twoCellAnchor>
    <xdr:from>
      <xdr:col>0</xdr:col>
      <xdr:colOff>371475</xdr:colOff>
      <xdr:row>9</xdr:row>
      <xdr:rowOff>152400</xdr:rowOff>
    </xdr:from>
    <xdr:to>
      <xdr:col>6</xdr:col>
      <xdr:colOff>485775</xdr:colOff>
      <xdr:row>15</xdr:row>
      <xdr:rowOff>104775</xdr:rowOff>
    </xdr:to>
    <xdr:sp macro="" textlink="">
      <xdr:nvSpPr>
        <xdr:cNvPr id="12599" name="Oval 4"/>
        <xdr:cNvSpPr>
          <a:spLocks noChangeArrowheads="1"/>
        </xdr:cNvSpPr>
      </xdr:nvSpPr>
      <xdr:spPr bwMode="auto">
        <a:xfrm>
          <a:off x="371475" y="1609725"/>
          <a:ext cx="3771900" cy="923925"/>
        </a:xfrm>
        <a:prstGeom prst="ellipse">
          <a:avLst/>
        </a:prstGeom>
        <a:solidFill>
          <a:srgbClr val="FFFFFF"/>
        </a:solidFill>
        <a:ln w="9525">
          <a:solidFill>
            <a:srgbClr val="000000"/>
          </a:solidFill>
          <a:round/>
          <a:headEnd/>
          <a:tailEnd/>
        </a:ln>
      </xdr:spPr>
    </xdr:sp>
    <xdr:clientData/>
  </xdr:twoCellAnchor>
  <xdr:twoCellAnchor>
    <xdr:from>
      <xdr:col>6</xdr:col>
      <xdr:colOff>495300</xdr:colOff>
      <xdr:row>16</xdr:row>
      <xdr:rowOff>123825</xdr:rowOff>
    </xdr:from>
    <xdr:to>
      <xdr:col>9</xdr:col>
      <xdr:colOff>180975</xdr:colOff>
      <xdr:row>22</xdr:row>
      <xdr:rowOff>66675</xdr:rowOff>
    </xdr:to>
    <xdr:sp macro="" textlink="">
      <xdr:nvSpPr>
        <xdr:cNvPr id="12600" name="Oval 5"/>
        <xdr:cNvSpPr>
          <a:spLocks noChangeArrowheads="1"/>
        </xdr:cNvSpPr>
      </xdr:nvSpPr>
      <xdr:spPr bwMode="auto">
        <a:xfrm>
          <a:off x="4152900" y="2714625"/>
          <a:ext cx="1514475" cy="914400"/>
        </a:xfrm>
        <a:prstGeom prst="ellipse">
          <a:avLst/>
        </a:prstGeom>
        <a:solidFill>
          <a:srgbClr val="FFFFFF"/>
        </a:solidFill>
        <a:ln w="9525">
          <a:solidFill>
            <a:srgbClr val="000000"/>
          </a:solidFill>
          <a:round/>
          <a:headEnd/>
          <a:tailEnd/>
        </a:ln>
      </xdr:spPr>
    </xdr:sp>
    <xdr:clientData/>
  </xdr:twoCellAnchor>
  <xdr:twoCellAnchor>
    <xdr:from>
      <xdr:col>10</xdr:col>
      <xdr:colOff>542925</xdr:colOff>
      <xdr:row>9</xdr:row>
      <xdr:rowOff>9525</xdr:rowOff>
    </xdr:from>
    <xdr:to>
      <xdr:col>12</xdr:col>
      <xdr:colOff>238125</xdr:colOff>
      <xdr:row>14</xdr:row>
      <xdr:rowOff>114300</xdr:rowOff>
    </xdr:to>
    <xdr:sp macro="" textlink="">
      <xdr:nvSpPr>
        <xdr:cNvPr id="12601" name="Oval 6"/>
        <xdr:cNvSpPr>
          <a:spLocks noChangeArrowheads="1"/>
        </xdr:cNvSpPr>
      </xdr:nvSpPr>
      <xdr:spPr bwMode="auto">
        <a:xfrm>
          <a:off x="6638925" y="1466850"/>
          <a:ext cx="914400" cy="914400"/>
        </a:xfrm>
        <a:prstGeom prst="ellipse">
          <a:avLst/>
        </a:prstGeom>
        <a:solidFill>
          <a:srgbClr val="FFFFFF"/>
        </a:solidFill>
        <a:ln w="9525">
          <a:solidFill>
            <a:srgbClr val="000000"/>
          </a:solidFill>
          <a:round/>
          <a:headEnd/>
          <a:tailEnd/>
        </a:ln>
      </xdr:spPr>
    </xdr:sp>
    <xdr:clientData/>
  </xdr:twoCellAnchor>
  <xdr:twoCellAnchor>
    <xdr:from>
      <xdr:col>10</xdr:col>
      <xdr:colOff>542925</xdr:colOff>
      <xdr:row>15</xdr:row>
      <xdr:rowOff>76200</xdr:rowOff>
    </xdr:from>
    <xdr:to>
      <xdr:col>12</xdr:col>
      <xdr:colOff>238125</xdr:colOff>
      <xdr:row>21</xdr:row>
      <xdr:rowOff>19050</xdr:rowOff>
    </xdr:to>
    <xdr:sp macro="" textlink="">
      <xdr:nvSpPr>
        <xdr:cNvPr id="12602" name="Oval 7"/>
        <xdr:cNvSpPr>
          <a:spLocks noChangeArrowheads="1"/>
        </xdr:cNvSpPr>
      </xdr:nvSpPr>
      <xdr:spPr bwMode="auto">
        <a:xfrm>
          <a:off x="6638925" y="2505075"/>
          <a:ext cx="914400" cy="914400"/>
        </a:xfrm>
        <a:prstGeom prst="ellipse">
          <a:avLst/>
        </a:prstGeom>
        <a:solidFill>
          <a:srgbClr val="FFFFFF"/>
        </a:solidFill>
        <a:ln w="9525">
          <a:solidFill>
            <a:srgbClr val="000000"/>
          </a:solidFill>
          <a:round/>
          <a:headEnd/>
          <a:tailEnd/>
        </a:ln>
      </xdr:spPr>
    </xdr:sp>
    <xdr:clientData/>
  </xdr:twoCellAnchor>
  <xdr:twoCellAnchor editAs="oneCell">
    <xdr:from>
      <xdr:col>9</xdr:col>
      <xdr:colOff>581025</xdr:colOff>
      <xdr:row>24</xdr:row>
      <xdr:rowOff>104775</xdr:rowOff>
    </xdr:from>
    <xdr:to>
      <xdr:col>14</xdr:col>
      <xdr:colOff>581025</xdr:colOff>
      <xdr:row>25</xdr:row>
      <xdr:rowOff>76200</xdr:rowOff>
    </xdr:to>
    <xdr:sp macro="" textlink="">
      <xdr:nvSpPr>
        <xdr:cNvPr id="12603" name="Text Box 8"/>
        <xdr:cNvSpPr txBox="1">
          <a:spLocks noChangeArrowheads="1"/>
        </xdr:cNvSpPr>
      </xdr:nvSpPr>
      <xdr:spPr bwMode="auto">
        <a:xfrm>
          <a:off x="6067425" y="3990975"/>
          <a:ext cx="3048000" cy="133350"/>
        </a:xfrm>
        <a:prstGeom prst="rect">
          <a:avLst/>
        </a:prstGeom>
        <a:noFill/>
        <a:ln w="9525" algn="ctr">
          <a:noFill/>
          <a:miter lim="800000"/>
          <a:headEnd/>
          <a:tailEnd/>
        </a:ln>
      </xdr:spPr>
    </xdr:sp>
    <xdr:clientData/>
  </xdr:twoCellAnchor>
  <xdr:twoCellAnchor>
    <xdr:from>
      <xdr:col>6</xdr:col>
      <xdr:colOff>28575</xdr:colOff>
      <xdr:row>7</xdr:row>
      <xdr:rowOff>76200</xdr:rowOff>
    </xdr:from>
    <xdr:to>
      <xdr:col>8</xdr:col>
      <xdr:colOff>257175</xdr:colOff>
      <xdr:row>9</xdr:row>
      <xdr:rowOff>9525</xdr:rowOff>
    </xdr:to>
    <xdr:sp macro="" textlink="">
      <xdr:nvSpPr>
        <xdr:cNvPr id="12298" name="WordArt 10">
          <a:hlinkClick xmlns:r="http://schemas.openxmlformats.org/officeDocument/2006/relationships" r:id="rId1"/>
        </xdr:cNvPr>
        <xdr:cNvSpPr>
          <a:spLocks noChangeArrowheads="1" noChangeShapeType="1" noTextEdit="1"/>
        </xdr:cNvSpPr>
      </xdr:nvSpPr>
      <xdr:spPr bwMode="auto">
        <a:xfrm>
          <a:off x="3686175" y="1209675"/>
          <a:ext cx="1447800"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Endowment</a:t>
          </a:r>
        </a:p>
      </xdr:txBody>
    </xdr:sp>
    <xdr:clientData/>
  </xdr:twoCellAnchor>
  <xdr:twoCellAnchor>
    <xdr:from>
      <xdr:col>1</xdr:col>
      <xdr:colOff>114300</xdr:colOff>
      <xdr:row>12</xdr:row>
      <xdr:rowOff>0</xdr:rowOff>
    </xdr:from>
    <xdr:to>
      <xdr:col>6</xdr:col>
      <xdr:colOff>142875</xdr:colOff>
      <xdr:row>13</xdr:row>
      <xdr:rowOff>95250</xdr:rowOff>
    </xdr:to>
    <xdr:sp macro="" textlink="">
      <xdr:nvSpPr>
        <xdr:cNvPr id="12299" name="WordArt 11">
          <a:hlinkClick xmlns:r="http://schemas.openxmlformats.org/officeDocument/2006/relationships" r:id="rId2"/>
        </xdr:cNvPr>
        <xdr:cNvSpPr>
          <a:spLocks noChangeArrowheads="1" noChangeShapeType="1" noTextEdit="1"/>
        </xdr:cNvSpPr>
      </xdr:nvSpPr>
      <xdr:spPr bwMode="auto">
        <a:xfrm>
          <a:off x="723900" y="1943100"/>
          <a:ext cx="3076575"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Contributions from Capital Campaign</a:t>
          </a:r>
        </a:p>
      </xdr:txBody>
    </xdr:sp>
    <xdr:clientData/>
  </xdr:twoCellAnchor>
  <xdr:twoCellAnchor>
    <xdr:from>
      <xdr:col>7</xdr:col>
      <xdr:colOff>104775</xdr:colOff>
      <xdr:row>18</xdr:row>
      <xdr:rowOff>123825</xdr:rowOff>
    </xdr:from>
    <xdr:to>
      <xdr:col>8</xdr:col>
      <xdr:colOff>590550</xdr:colOff>
      <xdr:row>20</xdr:row>
      <xdr:rowOff>57150</xdr:rowOff>
    </xdr:to>
    <xdr:sp macro="" textlink="">
      <xdr:nvSpPr>
        <xdr:cNvPr id="12300" name="WordArt 12">
          <a:hlinkClick xmlns:r="http://schemas.openxmlformats.org/officeDocument/2006/relationships" r:id="rId3"/>
        </xdr:cNvPr>
        <xdr:cNvSpPr>
          <a:spLocks noChangeArrowheads="1" noChangeShapeType="1" noTextEdit="1"/>
        </xdr:cNvSpPr>
      </xdr:nvSpPr>
      <xdr:spPr bwMode="auto">
        <a:xfrm>
          <a:off x="4371975" y="3038475"/>
          <a:ext cx="1095375"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Drawdowns</a:t>
          </a:r>
        </a:p>
      </xdr:txBody>
    </xdr:sp>
    <xdr:clientData/>
  </xdr:twoCellAnchor>
  <xdr:twoCellAnchor>
    <xdr:from>
      <xdr:col>4</xdr:col>
      <xdr:colOff>57150</xdr:colOff>
      <xdr:row>8</xdr:row>
      <xdr:rowOff>57150</xdr:rowOff>
    </xdr:from>
    <xdr:to>
      <xdr:col>5</xdr:col>
      <xdr:colOff>390525</xdr:colOff>
      <xdr:row>10</xdr:row>
      <xdr:rowOff>0</xdr:rowOff>
    </xdr:to>
    <xdr:sp macro="" textlink="">
      <xdr:nvSpPr>
        <xdr:cNvPr id="12607" name="Line 13"/>
        <xdr:cNvSpPr>
          <a:spLocks noChangeShapeType="1"/>
        </xdr:cNvSpPr>
      </xdr:nvSpPr>
      <xdr:spPr bwMode="auto">
        <a:xfrm flipV="1">
          <a:off x="2495550" y="1352550"/>
          <a:ext cx="942975" cy="266700"/>
        </a:xfrm>
        <a:prstGeom prst="line">
          <a:avLst/>
        </a:prstGeom>
        <a:noFill/>
        <a:ln w="9525">
          <a:solidFill>
            <a:srgbClr val="000000"/>
          </a:solidFill>
          <a:round/>
          <a:headEnd/>
          <a:tailEnd type="triangle" w="med" len="med"/>
        </a:ln>
      </xdr:spPr>
    </xdr:sp>
    <xdr:clientData/>
  </xdr:twoCellAnchor>
  <xdr:twoCellAnchor>
    <xdr:from>
      <xdr:col>7</xdr:col>
      <xdr:colOff>409575</xdr:colOff>
      <xdr:row>10</xdr:row>
      <xdr:rowOff>85725</xdr:rowOff>
    </xdr:from>
    <xdr:to>
      <xdr:col>8</xdr:col>
      <xdr:colOff>161925</xdr:colOff>
      <xdr:row>16</xdr:row>
      <xdr:rowOff>114300</xdr:rowOff>
    </xdr:to>
    <xdr:sp macro="" textlink="">
      <xdr:nvSpPr>
        <xdr:cNvPr id="12608" name="Line 14"/>
        <xdr:cNvSpPr>
          <a:spLocks noChangeShapeType="1"/>
        </xdr:cNvSpPr>
      </xdr:nvSpPr>
      <xdr:spPr bwMode="auto">
        <a:xfrm flipH="1" flipV="1">
          <a:off x="4676775" y="1704975"/>
          <a:ext cx="361950" cy="1000125"/>
        </a:xfrm>
        <a:prstGeom prst="line">
          <a:avLst/>
        </a:prstGeom>
        <a:noFill/>
        <a:ln w="9525">
          <a:solidFill>
            <a:srgbClr val="000000"/>
          </a:solidFill>
          <a:round/>
          <a:headEnd/>
          <a:tailEnd type="triangle" w="med" len="med"/>
        </a:ln>
      </xdr:spPr>
    </xdr:sp>
    <xdr:clientData/>
  </xdr:twoCellAnchor>
  <xdr:twoCellAnchor>
    <xdr:from>
      <xdr:col>11</xdr:col>
      <xdr:colOff>38100</xdr:colOff>
      <xdr:row>10</xdr:row>
      <xdr:rowOff>152400</xdr:rowOff>
    </xdr:from>
    <xdr:to>
      <xdr:col>12</xdr:col>
      <xdr:colOff>123825</xdr:colOff>
      <xdr:row>12</xdr:row>
      <xdr:rowOff>85725</xdr:rowOff>
    </xdr:to>
    <xdr:sp macro="" textlink="">
      <xdr:nvSpPr>
        <xdr:cNvPr id="12303" name="WordArt 15">
          <a:hlinkClick xmlns:r="http://schemas.openxmlformats.org/officeDocument/2006/relationships" r:id="rId4"/>
        </xdr:cNvPr>
        <xdr:cNvSpPr>
          <a:spLocks noChangeArrowheads="1" noChangeShapeType="1" noTextEdit="1"/>
        </xdr:cNvSpPr>
      </xdr:nvSpPr>
      <xdr:spPr bwMode="auto">
        <a:xfrm>
          <a:off x="6743700" y="1771650"/>
          <a:ext cx="695325"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Interest</a:t>
          </a:r>
        </a:p>
      </xdr:txBody>
    </xdr:sp>
    <xdr:clientData/>
  </xdr:twoCellAnchor>
  <xdr:twoCellAnchor>
    <xdr:from>
      <xdr:col>11</xdr:col>
      <xdr:colOff>152400</xdr:colOff>
      <xdr:row>17</xdr:row>
      <xdr:rowOff>47625</xdr:rowOff>
    </xdr:from>
    <xdr:to>
      <xdr:col>11</xdr:col>
      <xdr:colOff>571500</xdr:colOff>
      <xdr:row>18</xdr:row>
      <xdr:rowOff>142875</xdr:rowOff>
    </xdr:to>
    <xdr:sp macro="" textlink="">
      <xdr:nvSpPr>
        <xdr:cNvPr id="12304" name="WordArt 16">
          <a:hlinkClick xmlns:r="http://schemas.openxmlformats.org/officeDocument/2006/relationships" r:id="rId5"/>
        </xdr:cNvPr>
        <xdr:cNvSpPr>
          <a:spLocks noChangeArrowheads="1" noChangeShapeType="1" noTextEdit="1"/>
        </xdr:cNvSpPr>
      </xdr:nvSpPr>
      <xdr:spPr bwMode="auto">
        <a:xfrm>
          <a:off x="6858000" y="2800350"/>
          <a:ext cx="419100"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Fees</a:t>
          </a:r>
        </a:p>
      </xdr:txBody>
    </xdr:sp>
    <xdr:clientData/>
  </xdr:twoCellAnchor>
  <xdr:twoCellAnchor>
    <xdr:from>
      <xdr:col>8</xdr:col>
      <xdr:colOff>438150</xdr:colOff>
      <xdr:row>8</xdr:row>
      <xdr:rowOff>133350</xdr:rowOff>
    </xdr:from>
    <xdr:to>
      <xdr:col>10</xdr:col>
      <xdr:colOff>581025</xdr:colOff>
      <xdr:row>10</xdr:row>
      <xdr:rowOff>142875</xdr:rowOff>
    </xdr:to>
    <xdr:sp macro="" textlink="">
      <xdr:nvSpPr>
        <xdr:cNvPr id="12611" name="Line 17"/>
        <xdr:cNvSpPr>
          <a:spLocks noChangeShapeType="1"/>
        </xdr:cNvSpPr>
      </xdr:nvSpPr>
      <xdr:spPr bwMode="auto">
        <a:xfrm flipH="1" flipV="1">
          <a:off x="5314950" y="1428750"/>
          <a:ext cx="1362075" cy="333375"/>
        </a:xfrm>
        <a:prstGeom prst="line">
          <a:avLst/>
        </a:prstGeom>
        <a:noFill/>
        <a:ln w="9525">
          <a:solidFill>
            <a:srgbClr val="000000"/>
          </a:solidFill>
          <a:round/>
          <a:headEnd/>
          <a:tailEnd type="triangle" w="med" len="med"/>
        </a:ln>
      </xdr:spPr>
    </xdr:sp>
    <xdr:clientData/>
  </xdr:twoCellAnchor>
  <xdr:twoCellAnchor>
    <xdr:from>
      <xdr:col>8</xdr:col>
      <xdr:colOff>304800</xdr:colOff>
      <xdr:row>9</xdr:row>
      <xdr:rowOff>133350</xdr:rowOff>
    </xdr:from>
    <xdr:to>
      <xdr:col>10</xdr:col>
      <xdr:colOff>561975</xdr:colOff>
      <xdr:row>17</xdr:row>
      <xdr:rowOff>66675</xdr:rowOff>
    </xdr:to>
    <xdr:sp macro="" textlink="">
      <xdr:nvSpPr>
        <xdr:cNvPr id="12612" name="Line 18"/>
        <xdr:cNvSpPr>
          <a:spLocks noChangeShapeType="1"/>
        </xdr:cNvSpPr>
      </xdr:nvSpPr>
      <xdr:spPr bwMode="auto">
        <a:xfrm flipH="1" flipV="1">
          <a:off x="5181600" y="1590675"/>
          <a:ext cx="1476375" cy="1228725"/>
        </a:xfrm>
        <a:prstGeom prst="line">
          <a:avLst/>
        </a:prstGeom>
        <a:noFill/>
        <a:ln w="9525">
          <a:solidFill>
            <a:srgbClr val="000000"/>
          </a:solidFill>
          <a:round/>
          <a:headEnd/>
          <a:tailEnd type="triangle" w="med" len="med"/>
        </a:ln>
      </xdr:spPr>
    </xdr:sp>
    <xdr:clientData/>
  </xdr:twoCellAnchor>
  <xdr:twoCellAnchor>
    <xdr:from>
      <xdr:col>3</xdr:col>
      <xdr:colOff>285750</xdr:colOff>
      <xdr:row>27</xdr:row>
      <xdr:rowOff>19050</xdr:rowOff>
    </xdr:from>
    <xdr:to>
      <xdr:col>6</xdr:col>
      <xdr:colOff>314325</xdr:colOff>
      <xdr:row>28</xdr:row>
      <xdr:rowOff>114300</xdr:rowOff>
    </xdr:to>
    <xdr:sp macro="" textlink="">
      <xdr:nvSpPr>
        <xdr:cNvPr id="12307" name="WordArt 19"/>
        <xdr:cNvSpPr>
          <a:spLocks noChangeArrowheads="1" noChangeShapeType="1" noTextEdit="1"/>
        </xdr:cNvSpPr>
      </xdr:nvSpPr>
      <xdr:spPr bwMode="auto">
        <a:xfrm>
          <a:off x="2114550" y="4391025"/>
          <a:ext cx="1857375"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Operating Revenues</a:t>
          </a:r>
        </a:p>
      </xdr:txBody>
    </xdr:sp>
    <xdr:clientData/>
  </xdr:twoCellAnchor>
  <xdr:twoCellAnchor>
    <xdr:from>
      <xdr:col>9</xdr:col>
      <xdr:colOff>571500</xdr:colOff>
      <xdr:row>27</xdr:row>
      <xdr:rowOff>28575</xdr:rowOff>
    </xdr:from>
    <xdr:to>
      <xdr:col>12</xdr:col>
      <xdr:colOff>209550</xdr:colOff>
      <xdr:row>28</xdr:row>
      <xdr:rowOff>123825</xdr:rowOff>
    </xdr:to>
    <xdr:sp macro="" textlink="">
      <xdr:nvSpPr>
        <xdr:cNvPr id="12308" name="WordArt 20"/>
        <xdr:cNvSpPr>
          <a:spLocks noChangeArrowheads="1" noChangeShapeType="1" noTextEdit="1"/>
        </xdr:cNvSpPr>
      </xdr:nvSpPr>
      <xdr:spPr bwMode="auto">
        <a:xfrm>
          <a:off x="6057900" y="4400550"/>
          <a:ext cx="1466850" cy="257175"/>
        </a:xfrm>
        <a:prstGeom prst="rect">
          <a:avLst/>
        </a:prstGeom>
      </xdr:spPr>
      <xdr:txBody>
        <a:bodyPr wrap="none" fromWordArt="1">
          <a:prstTxWarp prst="textPlain">
            <a:avLst>
              <a:gd name="adj" fmla="val 50000"/>
            </a:avLst>
          </a:prstTxWarp>
        </a:bodyPr>
        <a:lstStyle/>
        <a:p>
          <a:pPr algn="ctr" rtl="0"/>
          <a:r>
            <a:rPr lang="en-US" sz="1800" kern="10" spc="0">
              <a:ln w="9525">
                <a:solidFill>
                  <a:srgbClr val="000000"/>
                </a:solidFill>
                <a:round/>
                <a:headEnd/>
                <a:tailEnd/>
              </a:ln>
              <a:solidFill>
                <a:srgbClr val="FFFFFF"/>
              </a:solidFill>
              <a:effectLst/>
              <a:latin typeface="Times New Roman"/>
              <a:cs typeface="Times New Roman"/>
            </a:rPr>
            <a:t>Operating Costs</a:t>
          </a:r>
        </a:p>
      </xdr:txBody>
    </xdr:sp>
    <xdr:clientData/>
  </xdr:twoCellAnchor>
  <xdr:twoCellAnchor>
    <xdr:from>
      <xdr:col>9</xdr:col>
      <xdr:colOff>419100</xdr:colOff>
      <xdr:row>25</xdr:row>
      <xdr:rowOff>38100</xdr:rowOff>
    </xdr:from>
    <xdr:to>
      <xdr:col>12</xdr:col>
      <xdr:colOff>600075</xdr:colOff>
      <xdr:row>30</xdr:row>
      <xdr:rowOff>152400</xdr:rowOff>
    </xdr:to>
    <xdr:sp macro="" textlink="">
      <xdr:nvSpPr>
        <xdr:cNvPr id="12615" name="Oval 23">
          <a:hlinkClick xmlns:r="http://schemas.openxmlformats.org/officeDocument/2006/relationships" r:id="rId6"/>
        </xdr:cNvPr>
        <xdr:cNvSpPr>
          <a:spLocks noChangeArrowheads="1"/>
        </xdr:cNvSpPr>
      </xdr:nvSpPr>
      <xdr:spPr bwMode="auto">
        <a:xfrm>
          <a:off x="5905500" y="4086225"/>
          <a:ext cx="2009775" cy="923925"/>
        </a:xfrm>
        <a:prstGeom prst="ellipse">
          <a:avLst/>
        </a:prstGeom>
        <a:solidFill>
          <a:srgbClr val="FFFFFF">
            <a:alpha val="0"/>
          </a:srgbClr>
        </a:solidFill>
        <a:ln w="9525">
          <a:solidFill>
            <a:srgbClr val="000000"/>
          </a:solidFill>
          <a:round/>
          <a:headEnd/>
          <a:tailEnd/>
        </a:ln>
      </xdr:spPr>
    </xdr:sp>
    <xdr:clientData/>
  </xdr:twoCellAnchor>
  <xdr:twoCellAnchor>
    <xdr:from>
      <xdr:col>2</xdr:col>
      <xdr:colOff>333375</xdr:colOff>
      <xdr:row>24</xdr:row>
      <xdr:rowOff>133350</xdr:rowOff>
    </xdr:from>
    <xdr:to>
      <xdr:col>7</xdr:col>
      <xdr:colOff>161925</xdr:colOff>
      <xdr:row>30</xdr:row>
      <xdr:rowOff>85725</xdr:rowOff>
    </xdr:to>
    <xdr:sp macro="" textlink="">
      <xdr:nvSpPr>
        <xdr:cNvPr id="12616" name="Oval 24">
          <a:hlinkClick xmlns:r="http://schemas.openxmlformats.org/officeDocument/2006/relationships" r:id="rId7"/>
        </xdr:cNvPr>
        <xdr:cNvSpPr>
          <a:spLocks noChangeArrowheads="1"/>
        </xdr:cNvSpPr>
      </xdr:nvSpPr>
      <xdr:spPr bwMode="auto">
        <a:xfrm>
          <a:off x="1552575" y="4019550"/>
          <a:ext cx="2876550" cy="923925"/>
        </a:xfrm>
        <a:prstGeom prst="ellipse">
          <a:avLst/>
        </a:prstGeom>
        <a:solidFill>
          <a:srgbClr val="FFFFFF">
            <a:alpha val="0"/>
          </a:srgbClr>
        </a:solidFill>
        <a:ln w="9525">
          <a:solidFill>
            <a:srgbClr val="000000"/>
          </a:solidFill>
          <a:round/>
          <a:headEnd/>
          <a:tailEnd/>
        </a:ln>
      </xdr:spPr>
    </xdr:sp>
    <xdr:clientData/>
  </xdr:twoCellAnchor>
  <xdr:twoCellAnchor>
    <xdr:from>
      <xdr:col>6</xdr:col>
      <xdr:colOff>171450</xdr:colOff>
      <xdr:row>21</xdr:row>
      <xdr:rowOff>123825</xdr:rowOff>
    </xdr:from>
    <xdr:to>
      <xdr:col>7</xdr:col>
      <xdr:colOff>161925</xdr:colOff>
      <xdr:row>25</xdr:row>
      <xdr:rowOff>38100</xdr:rowOff>
    </xdr:to>
    <xdr:sp macro="" textlink="">
      <xdr:nvSpPr>
        <xdr:cNvPr id="12617" name="Line 25"/>
        <xdr:cNvSpPr>
          <a:spLocks noChangeShapeType="1"/>
        </xdr:cNvSpPr>
      </xdr:nvSpPr>
      <xdr:spPr bwMode="auto">
        <a:xfrm flipV="1">
          <a:off x="3829050" y="3524250"/>
          <a:ext cx="600075" cy="561975"/>
        </a:xfrm>
        <a:prstGeom prst="line">
          <a:avLst/>
        </a:prstGeom>
        <a:noFill/>
        <a:ln w="9525">
          <a:solidFill>
            <a:srgbClr val="000000"/>
          </a:solidFill>
          <a:round/>
          <a:headEnd/>
          <a:tailEnd type="triangle" w="med" len="med"/>
        </a:ln>
      </xdr:spPr>
    </xdr:sp>
    <xdr:clientData/>
  </xdr:twoCellAnchor>
  <xdr:twoCellAnchor>
    <xdr:from>
      <xdr:col>8</xdr:col>
      <xdr:colOff>600075</xdr:colOff>
      <xdr:row>21</xdr:row>
      <xdr:rowOff>57150</xdr:rowOff>
    </xdr:from>
    <xdr:to>
      <xdr:col>10</xdr:col>
      <xdr:colOff>257175</xdr:colOff>
      <xdr:row>25</xdr:row>
      <xdr:rowOff>104775</xdr:rowOff>
    </xdr:to>
    <xdr:sp macro="" textlink="">
      <xdr:nvSpPr>
        <xdr:cNvPr id="12618" name="Line 26"/>
        <xdr:cNvSpPr>
          <a:spLocks noChangeShapeType="1"/>
        </xdr:cNvSpPr>
      </xdr:nvSpPr>
      <xdr:spPr bwMode="auto">
        <a:xfrm flipH="1" flipV="1">
          <a:off x="5476875" y="3457575"/>
          <a:ext cx="876300" cy="695325"/>
        </a:xfrm>
        <a:prstGeom prst="line">
          <a:avLst/>
        </a:prstGeom>
        <a:noFill/>
        <a:ln w="9525">
          <a:solidFill>
            <a:srgbClr val="000000"/>
          </a:solidFill>
          <a:round/>
          <a:headEnd/>
          <a:tailEnd type="triangle" w="med" len="med"/>
        </a:ln>
      </xdr:spPr>
    </xdr:sp>
    <xdr:clientData/>
  </xdr:twoCellAnchor>
  <xdr:twoCellAnchor>
    <xdr:from>
      <xdr:col>4</xdr:col>
      <xdr:colOff>571500</xdr:colOff>
      <xdr:row>46</xdr:row>
      <xdr:rowOff>9525</xdr:rowOff>
    </xdr:from>
    <xdr:to>
      <xdr:col>6</xdr:col>
      <xdr:colOff>114300</xdr:colOff>
      <xdr:row>47</xdr:row>
      <xdr:rowOff>95250</xdr:rowOff>
    </xdr:to>
    <xdr:sp macro="" textlink="">
      <xdr:nvSpPr>
        <xdr:cNvPr id="12317" name="WordArt 29"/>
        <xdr:cNvSpPr>
          <a:spLocks noChangeArrowheads="1" noChangeShapeType="1" noTextEdit="1"/>
        </xdr:cNvSpPr>
      </xdr:nvSpPr>
      <xdr:spPr bwMode="auto">
        <a:xfrm>
          <a:off x="3009900" y="7458075"/>
          <a:ext cx="762000" cy="247650"/>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Public programs</a:t>
          </a:r>
        </a:p>
      </xdr:txBody>
    </xdr:sp>
    <xdr:clientData/>
  </xdr:twoCellAnchor>
  <xdr:twoCellAnchor>
    <xdr:from>
      <xdr:col>10</xdr:col>
      <xdr:colOff>66675</xdr:colOff>
      <xdr:row>58</xdr:row>
      <xdr:rowOff>76200</xdr:rowOff>
    </xdr:from>
    <xdr:to>
      <xdr:col>10</xdr:col>
      <xdr:colOff>447675</xdr:colOff>
      <xdr:row>59</xdr:row>
      <xdr:rowOff>95250</xdr:rowOff>
    </xdr:to>
    <xdr:sp macro="" textlink="">
      <xdr:nvSpPr>
        <xdr:cNvPr id="12318" name="WordArt 30"/>
        <xdr:cNvSpPr>
          <a:spLocks noChangeArrowheads="1" noChangeShapeType="1" noTextEdit="1"/>
        </xdr:cNvSpPr>
      </xdr:nvSpPr>
      <xdr:spPr bwMode="auto">
        <a:xfrm>
          <a:off x="6162675" y="9467850"/>
          <a:ext cx="381000" cy="18097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Gifts</a:t>
          </a:r>
        </a:p>
      </xdr:txBody>
    </xdr:sp>
    <xdr:clientData/>
  </xdr:twoCellAnchor>
  <xdr:twoCellAnchor>
    <xdr:from>
      <xdr:col>8</xdr:col>
      <xdr:colOff>419100</xdr:colOff>
      <xdr:row>55</xdr:row>
      <xdr:rowOff>66675</xdr:rowOff>
    </xdr:from>
    <xdr:to>
      <xdr:col>9</xdr:col>
      <xdr:colOff>523875</xdr:colOff>
      <xdr:row>57</xdr:row>
      <xdr:rowOff>19050</xdr:rowOff>
    </xdr:to>
    <xdr:sp macro="" textlink="">
      <xdr:nvSpPr>
        <xdr:cNvPr id="12319" name="WordArt 31"/>
        <xdr:cNvSpPr>
          <a:spLocks noChangeArrowheads="1" noChangeShapeType="1" noTextEdit="1"/>
        </xdr:cNvSpPr>
      </xdr:nvSpPr>
      <xdr:spPr bwMode="auto">
        <a:xfrm>
          <a:off x="5295900" y="8972550"/>
          <a:ext cx="714375" cy="27622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Contributions</a:t>
          </a:r>
        </a:p>
      </xdr:txBody>
    </xdr:sp>
    <xdr:clientData/>
  </xdr:twoCellAnchor>
  <xdr:twoCellAnchor>
    <xdr:from>
      <xdr:col>8</xdr:col>
      <xdr:colOff>542925</xdr:colOff>
      <xdr:row>33</xdr:row>
      <xdr:rowOff>28575</xdr:rowOff>
    </xdr:from>
    <xdr:to>
      <xdr:col>9</xdr:col>
      <xdr:colOff>314325</xdr:colOff>
      <xdr:row>34</xdr:row>
      <xdr:rowOff>47625</xdr:rowOff>
    </xdr:to>
    <xdr:sp macro="" textlink="">
      <xdr:nvSpPr>
        <xdr:cNvPr id="12320" name="WordArt 32"/>
        <xdr:cNvSpPr>
          <a:spLocks noChangeArrowheads="1" noChangeShapeType="1" noTextEdit="1"/>
        </xdr:cNvSpPr>
      </xdr:nvSpPr>
      <xdr:spPr bwMode="auto">
        <a:xfrm>
          <a:off x="5419725" y="5372100"/>
          <a:ext cx="381000" cy="18097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Programs</a:t>
          </a:r>
        </a:p>
      </xdr:txBody>
    </xdr:sp>
    <xdr:clientData/>
  </xdr:twoCellAnchor>
  <xdr:twoCellAnchor>
    <xdr:from>
      <xdr:col>10</xdr:col>
      <xdr:colOff>114300</xdr:colOff>
      <xdr:row>36</xdr:row>
      <xdr:rowOff>38100</xdr:rowOff>
    </xdr:from>
    <xdr:to>
      <xdr:col>11</xdr:col>
      <xdr:colOff>561975</xdr:colOff>
      <xdr:row>37</xdr:row>
      <xdr:rowOff>152400</xdr:rowOff>
    </xdr:to>
    <xdr:sp macro="" textlink="">
      <xdr:nvSpPr>
        <xdr:cNvPr id="12321" name="WordArt 33"/>
        <xdr:cNvSpPr>
          <a:spLocks noChangeArrowheads="1" noChangeShapeType="1" noTextEdit="1"/>
        </xdr:cNvSpPr>
      </xdr:nvSpPr>
      <xdr:spPr bwMode="auto">
        <a:xfrm>
          <a:off x="6210300" y="5867400"/>
          <a:ext cx="1057275" cy="27622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Facilities and equipment</a:t>
          </a:r>
        </a:p>
      </xdr:txBody>
    </xdr:sp>
    <xdr:clientData/>
  </xdr:twoCellAnchor>
  <xdr:twoCellAnchor>
    <xdr:from>
      <xdr:col>14</xdr:col>
      <xdr:colOff>123825</xdr:colOff>
      <xdr:row>43</xdr:row>
      <xdr:rowOff>152400</xdr:rowOff>
    </xdr:from>
    <xdr:to>
      <xdr:col>16</xdr:col>
      <xdr:colOff>95250</xdr:colOff>
      <xdr:row>46</xdr:row>
      <xdr:rowOff>104775</xdr:rowOff>
    </xdr:to>
    <xdr:sp macro="" textlink="">
      <xdr:nvSpPr>
        <xdr:cNvPr id="12322" name="WordArt 34"/>
        <xdr:cNvSpPr>
          <a:spLocks noChangeArrowheads="1" noChangeShapeType="1" noTextEdit="1"/>
        </xdr:cNvSpPr>
      </xdr:nvSpPr>
      <xdr:spPr bwMode="auto">
        <a:xfrm>
          <a:off x="8658225" y="7115175"/>
          <a:ext cx="1190625" cy="438150"/>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Development and marketing</a:t>
          </a:r>
        </a:p>
      </xdr:txBody>
    </xdr:sp>
    <xdr:clientData/>
  </xdr:twoCellAnchor>
  <xdr:twoCellAnchor>
    <xdr:from>
      <xdr:col>11</xdr:col>
      <xdr:colOff>485775</xdr:colOff>
      <xdr:row>41</xdr:row>
      <xdr:rowOff>38100</xdr:rowOff>
    </xdr:from>
    <xdr:to>
      <xdr:col>13</xdr:col>
      <xdr:colOff>142875</xdr:colOff>
      <xdr:row>42</xdr:row>
      <xdr:rowOff>104775</xdr:rowOff>
    </xdr:to>
    <xdr:sp macro="" textlink="">
      <xdr:nvSpPr>
        <xdr:cNvPr id="12323" name="WordArt 35"/>
        <xdr:cNvSpPr>
          <a:spLocks noChangeArrowheads="1" noChangeShapeType="1" noTextEdit="1"/>
        </xdr:cNvSpPr>
      </xdr:nvSpPr>
      <xdr:spPr bwMode="auto">
        <a:xfrm>
          <a:off x="7191375" y="6677025"/>
          <a:ext cx="876300" cy="228600"/>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Administration</a:t>
          </a:r>
        </a:p>
      </xdr:txBody>
    </xdr:sp>
    <xdr:clientData/>
  </xdr:twoCellAnchor>
  <xdr:twoCellAnchor>
    <xdr:from>
      <xdr:col>3</xdr:col>
      <xdr:colOff>495300</xdr:colOff>
      <xdr:row>42</xdr:row>
      <xdr:rowOff>85725</xdr:rowOff>
    </xdr:from>
    <xdr:to>
      <xdr:col>4</xdr:col>
      <xdr:colOff>476250</xdr:colOff>
      <xdr:row>43</xdr:row>
      <xdr:rowOff>123825</xdr:rowOff>
    </xdr:to>
    <xdr:sp macro="" textlink="">
      <xdr:nvSpPr>
        <xdr:cNvPr id="12324" name="WordArt 36"/>
        <xdr:cNvSpPr>
          <a:spLocks noChangeArrowheads="1" noChangeShapeType="1" noTextEdit="1"/>
        </xdr:cNvSpPr>
      </xdr:nvSpPr>
      <xdr:spPr bwMode="auto">
        <a:xfrm>
          <a:off x="2324100" y="6886575"/>
          <a:ext cx="590550" cy="20002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Retail sales</a:t>
          </a:r>
        </a:p>
      </xdr:txBody>
    </xdr:sp>
    <xdr:clientData/>
  </xdr:twoCellAnchor>
  <xdr:twoCellAnchor>
    <xdr:from>
      <xdr:col>2</xdr:col>
      <xdr:colOff>28575</xdr:colOff>
      <xdr:row>35</xdr:row>
      <xdr:rowOff>142875</xdr:rowOff>
    </xdr:from>
    <xdr:to>
      <xdr:col>3</xdr:col>
      <xdr:colOff>180975</xdr:colOff>
      <xdr:row>37</xdr:row>
      <xdr:rowOff>133350</xdr:rowOff>
    </xdr:to>
    <xdr:sp macro="" textlink="">
      <xdr:nvSpPr>
        <xdr:cNvPr id="12325" name="WordArt 37"/>
        <xdr:cNvSpPr>
          <a:spLocks noChangeArrowheads="1" noChangeShapeType="1" noTextEdit="1"/>
        </xdr:cNvSpPr>
      </xdr:nvSpPr>
      <xdr:spPr bwMode="auto">
        <a:xfrm>
          <a:off x="1247775" y="5810250"/>
          <a:ext cx="762000" cy="31432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Sponsorships</a:t>
          </a:r>
        </a:p>
      </xdr:txBody>
    </xdr:sp>
    <xdr:clientData/>
  </xdr:twoCellAnchor>
  <xdr:twoCellAnchor>
    <xdr:from>
      <xdr:col>2</xdr:col>
      <xdr:colOff>514350</xdr:colOff>
      <xdr:row>39</xdr:row>
      <xdr:rowOff>142875</xdr:rowOff>
    </xdr:from>
    <xdr:to>
      <xdr:col>3</xdr:col>
      <xdr:colOff>428625</xdr:colOff>
      <xdr:row>41</xdr:row>
      <xdr:rowOff>0</xdr:rowOff>
    </xdr:to>
    <xdr:sp macro="" textlink="">
      <xdr:nvSpPr>
        <xdr:cNvPr id="12326" name="WordArt 38"/>
        <xdr:cNvSpPr>
          <a:spLocks noChangeArrowheads="1" noChangeShapeType="1" noTextEdit="1"/>
        </xdr:cNvSpPr>
      </xdr:nvSpPr>
      <xdr:spPr bwMode="auto">
        <a:xfrm>
          <a:off x="1733550" y="6457950"/>
          <a:ext cx="523875" cy="18097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Admissions</a:t>
          </a:r>
        </a:p>
      </xdr:txBody>
    </xdr:sp>
    <xdr:clientData/>
  </xdr:twoCellAnchor>
  <xdr:twoCellAnchor>
    <xdr:from>
      <xdr:col>7</xdr:col>
      <xdr:colOff>409575</xdr:colOff>
      <xdr:row>52</xdr:row>
      <xdr:rowOff>28575</xdr:rowOff>
    </xdr:from>
    <xdr:to>
      <xdr:col>8</xdr:col>
      <xdr:colOff>466725</xdr:colOff>
      <xdr:row>53</xdr:row>
      <xdr:rowOff>76200</xdr:rowOff>
    </xdr:to>
    <xdr:sp macro="" textlink="">
      <xdr:nvSpPr>
        <xdr:cNvPr id="12327" name="WordArt 39"/>
        <xdr:cNvSpPr>
          <a:spLocks noChangeArrowheads="1" noChangeShapeType="1" noTextEdit="1"/>
        </xdr:cNvSpPr>
      </xdr:nvSpPr>
      <xdr:spPr bwMode="auto">
        <a:xfrm>
          <a:off x="4676775" y="8448675"/>
          <a:ext cx="666750" cy="209550"/>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Annual fund</a:t>
          </a:r>
        </a:p>
      </xdr:txBody>
    </xdr:sp>
    <xdr:clientData/>
  </xdr:twoCellAnchor>
  <xdr:twoCellAnchor>
    <xdr:from>
      <xdr:col>6</xdr:col>
      <xdr:colOff>95250</xdr:colOff>
      <xdr:row>49</xdr:row>
      <xdr:rowOff>38100</xdr:rowOff>
    </xdr:from>
    <xdr:to>
      <xdr:col>7</xdr:col>
      <xdr:colOff>266700</xdr:colOff>
      <xdr:row>50</xdr:row>
      <xdr:rowOff>133350</xdr:rowOff>
    </xdr:to>
    <xdr:sp macro="" textlink="">
      <xdr:nvSpPr>
        <xdr:cNvPr id="12328" name="WordArt 40"/>
        <xdr:cNvSpPr>
          <a:spLocks noChangeArrowheads="1" noChangeShapeType="1" noTextEdit="1"/>
        </xdr:cNvSpPr>
      </xdr:nvSpPr>
      <xdr:spPr bwMode="auto">
        <a:xfrm>
          <a:off x="3752850" y="7972425"/>
          <a:ext cx="781050" cy="25717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Fees for service</a:t>
          </a:r>
        </a:p>
      </xdr:txBody>
    </xdr:sp>
    <xdr:clientData/>
  </xdr:twoCellAnchor>
  <xdr:twoCellAnchor>
    <xdr:from>
      <xdr:col>8</xdr:col>
      <xdr:colOff>304800</xdr:colOff>
      <xdr:row>32</xdr:row>
      <xdr:rowOff>38100</xdr:rowOff>
    </xdr:from>
    <xdr:to>
      <xdr:col>10</xdr:col>
      <xdr:colOff>0</xdr:colOff>
      <xdr:row>35</xdr:row>
      <xdr:rowOff>38100</xdr:rowOff>
    </xdr:to>
    <xdr:sp macro="" textlink="">
      <xdr:nvSpPr>
        <xdr:cNvPr id="12631" name="Oval 42"/>
        <xdr:cNvSpPr>
          <a:spLocks noChangeArrowheads="1"/>
        </xdr:cNvSpPr>
      </xdr:nvSpPr>
      <xdr:spPr bwMode="auto">
        <a:xfrm>
          <a:off x="5181600" y="5219700"/>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9</xdr:col>
      <xdr:colOff>523875</xdr:colOff>
      <xdr:row>35</xdr:row>
      <xdr:rowOff>66675</xdr:rowOff>
    </xdr:from>
    <xdr:to>
      <xdr:col>12</xdr:col>
      <xdr:colOff>123825</xdr:colOff>
      <xdr:row>38</xdr:row>
      <xdr:rowOff>66675</xdr:rowOff>
    </xdr:to>
    <xdr:sp macro="" textlink="">
      <xdr:nvSpPr>
        <xdr:cNvPr id="12632" name="Oval 43"/>
        <xdr:cNvSpPr>
          <a:spLocks noChangeArrowheads="1"/>
        </xdr:cNvSpPr>
      </xdr:nvSpPr>
      <xdr:spPr bwMode="auto">
        <a:xfrm>
          <a:off x="6010275" y="5734050"/>
          <a:ext cx="142875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13</xdr:col>
      <xdr:colOff>428625</xdr:colOff>
      <xdr:row>43</xdr:row>
      <xdr:rowOff>104775</xdr:rowOff>
    </xdr:from>
    <xdr:to>
      <xdr:col>16</xdr:col>
      <xdr:colOff>419100</xdr:colOff>
      <xdr:row>46</xdr:row>
      <xdr:rowOff>104775</xdr:rowOff>
    </xdr:to>
    <xdr:sp macro="" textlink="">
      <xdr:nvSpPr>
        <xdr:cNvPr id="12633" name="Oval 44"/>
        <xdr:cNvSpPr>
          <a:spLocks noChangeArrowheads="1"/>
        </xdr:cNvSpPr>
      </xdr:nvSpPr>
      <xdr:spPr bwMode="auto">
        <a:xfrm>
          <a:off x="8353425" y="7067550"/>
          <a:ext cx="1819275"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11</xdr:col>
      <xdr:colOff>323850</xdr:colOff>
      <xdr:row>40</xdr:row>
      <xdr:rowOff>95250</xdr:rowOff>
    </xdr:from>
    <xdr:to>
      <xdr:col>13</xdr:col>
      <xdr:colOff>342900</xdr:colOff>
      <xdr:row>43</xdr:row>
      <xdr:rowOff>95250</xdr:rowOff>
    </xdr:to>
    <xdr:sp macro="" textlink="">
      <xdr:nvSpPr>
        <xdr:cNvPr id="12634" name="Oval 45"/>
        <xdr:cNvSpPr>
          <a:spLocks noChangeArrowheads="1"/>
        </xdr:cNvSpPr>
      </xdr:nvSpPr>
      <xdr:spPr bwMode="auto">
        <a:xfrm>
          <a:off x="7029450" y="6572250"/>
          <a:ext cx="123825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1</xdr:col>
      <xdr:colOff>9525</xdr:colOff>
      <xdr:row>31</xdr:row>
      <xdr:rowOff>152400</xdr:rowOff>
    </xdr:from>
    <xdr:to>
      <xdr:col>2</xdr:col>
      <xdr:colOff>314325</xdr:colOff>
      <xdr:row>34</xdr:row>
      <xdr:rowOff>152400</xdr:rowOff>
    </xdr:to>
    <xdr:sp macro="" textlink="">
      <xdr:nvSpPr>
        <xdr:cNvPr id="12635" name="Oval 46"/>
        <xdr:cNvSpPr>
          <a:spLocks noChangeArrowheads="1"/>
        </xdr:cNvSpPr>
      </xdr:nvSpPr>
      <xdr:spPr bwMode="auto">
        <a:xfrm>
          <a:off x="619125" y="5172075"/>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1</xdr:col>
      <xdr:colOff>352425</xdr:colOff>
      <xdr:row>35</xdr:row>
      <xdr:rowOff>76200</xdr:rowOff>
    </xdr:from>
    <xdr:to>
      <xdr:col>3</xdr:col>
      <xdr:colOff>457200</xdr:colOff>
      <xdr:row>38</xdr:row>
      <xdr:rowOff>76200</xdr:rowOff>
    </xdr:to>
    <xdr:sp macro="" textlink="">
      <xdr:nvSpPr>
        <xdr:cNvPr id="12636" name="Oval 47"/>
        <xdr:cNvSpPr>
          <a:spLocks noChangeArrowheads="1"/>
        </xdr:cNvSpPr>
      </xdr:nvSpPr>
      <xdr:spPr bwMode="auto">
        <a:xfrm>
          <a:off x="962025" y="5743575"/>
          <a:ext cx="1323975"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4</xdr:col>
      <xdr:colOff>323850</xdr:colOff>
      <xdr:row>45</xdr:row>
      <xdr:rowOff>57150</xdr:rowOff>
    </xdr:from>
    <xdr:to>
      <xdr:col>6</xdr:col>
      <xdr:colOff>285750</xdr:colOff>
      <xdr:row>48</xdr:row>
      <xdr:rowOff>57150</xdr:rowOff>
    </xdr:to>
    <xdr:sp macro="" textlink="">
      <xdr:nvSpPr>
        <xdr:cNvPr id="12637" name="Oval 48"/>
        <xdr:cNvSpPr>
          <a:spLocks noChangeArrowheads="1"/>
        </xdr:cNvSpPr>
      </xdr:nvSpPr>
      <xdr:spPr bwMode="auto">
        <a:xfrm>
          <a:off x="2762250" y="7343775"/>
          <a:ext cx="11811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5</xdr:col>
      <xdr:colOff>419100</xdr:colOff>
      <xdr:row>48</xdr:row>
      <xdr:rowOff>114300</xdr:rowOff>
    </xdr:from>
    <xdr:to>
      <xdr:col>7</xdr:col>
      <xdr:colOff>457200</xdr:colOff>
      <xdr:row>51</xdr:row>
      <xdr:rowOff>114300</xdr:rowOff>
    </xdr:to>
    <xdr:sp macro="" textlink="">
      <xdr:nvSpPr>
        <xdr:cNvPr id="12638" name="Oval 49"/>
        <xdr:cNvSpPr>
          <a:spLocks noChangeArrowheads="1"/>
        </xdr:cNvSpPr>
      </xdr:nvSpPr>
      <xdr:spPr bwMode="auto">
        <a:xfrm>
          <a:off x="3467100" y="7886700"/>
          <a:ext cx="12573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9</xdr:col>
      <xdr:colOff>419100</xdr:colOff>
      <xdr:row>57</xdr:row>
      <xdr:rowOff>114300</xdr:rowOff>
    </xdr:from>
    <xdr:to>
      <xdr:col>11</xdr:col>
      <xdr:colOff>114300</xdr:colOff>
      <xdr:row>60</xdr:row>
      <xdr:rowOff>114300</xdr:rowOff>
    </xdr:to>
    <xdr:sp macro="" textlink="">
      <xdr:nvSpPr>
        <xdr:cNvPr id="12639" name="Oval 51"/>
        <xdr:cNvSpPr>
          <a:spLocks noChangeArrowheads="1"/>
        </xdr:cNvSpPr>
      </xdr:nvSpPr>
      <xdr:spPr bwMode="auto">
        <a:xfrm>
          <a:off x="5905500" y="9344025"/>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8</xdr:col>
      <xdr:colOff>209550</xdr:colOff>
      <xdr:row>54</xdr:row>
      <xdr:rowOff>142875</xdr:rowOff>
    </xdr:from>
    <xdr:to>
      <xdr:col>10</xdr:col>
      <xdr:colOff>104775</xdr:colOff>
      <xdr:row>57</xdr:row>
      <xdr:rowOff>142875</xdr:rowOff>
    </xdr:to>
    <xdr:sp macro="" textlink="">
      <xdr:nvSpPr>
        <xdr:cNvPr id="12640" name="Oval 52"/>
        <xdr:cNvSpPr>
          <a:spLocks noChangeArrowheads="1"/>
        </xdr:cNvSpPr>
      </xdr:nvSpPr>
      <xdr:spPr bwMode="auto">
        <a:xfrm>
          <a:off x="5086350" y="8886825"/>
          <a:ext cx="1114425"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7</xdr:col>
      <xdr:colOff>314325</xdr:colOff>
      <xdr:row>51</xdr:row>
      <xdr:rowOff>85725</xdr:rowOff>
    </xdr:from>
    <xdr:to>
      <xdr:col>9</xdr:col>
      <xdr:colOff>9525</xdr:colOff>
      <xdr:row>54</xdr:row>
      <xdr:rowOff>85725</xdr:rowOff>
    </xdr:to>
    <xdr:sp macro="" textlink="">
      <xdr:nvSpPr>
        <xdr:cNvPr id="12641" name="Oval 53"/>
        <xdr:cNvSpPr>
          <a:spLocks noChangeArrowheads="1"/>
        </xdr:cNvSpPr>
      </xdr:nvSpPr>
      <xdr:spPr bwMode="auto">
        <a:xfrm>
          <a:off x="4581525" y="8343900"/>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3</xdr:col>
      <xdr:colOff>323850</xdr:colOff>
      <xdr:row>41</xdr:row>
      <xdr:rowOff>114300</xdr:rowOff>
    </xdr:from>
    <xdr:to>
      <xdr:col>5</xdr:col>
      <xdr:colOff>19050</xdr:colOff>
      <xdr:row>44</xdr:row>
      <xdr:rowOff>114300</xdr:rowOff>
    </xdr:to>
    <xdr:sp macro="" textlink="">
      <xdr:nvSpPr>
        <xdr:cNvPr id="12642" name="Oval 54"/>
        <xdr:cNvSpPr>
          <a:spLocks noChangeArrowheads="1"/>
        </xdr:cNvSpPr>
      </xdr:nvSpPr>
      <xdr:spPr bwMode="auto">
        <a:xfrm>
          <a:off x="2152650" y="6753225"/>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2</xdr:col>
      <xdr:colOff>333375</xdr:colOff>
      <xdr:row>39</xdr:row>
      <xdr:rowOff>9525</xdr:rowOff>
    </xdr:from>
    <xdr:to>
      <xdr:col>4</xdr:col>
      <xdr:colOff>28575</xdr:colOff>
      <xdr:row>42</xdr:row>
      <xdr:rowOff>9525</xdr:rowOff>
    </xdr:to>
    <xdr:sp macro="" textlink="">
      <xdr:nvSpPr>
        <xdr:cNvPr id="12643" name="Oval 55"/>
        <xdr:cNvSpPr>
          <a:spLocks noChangeArrowheads="1"/>
        </xdr:cNvSpPr>
      </xdr:nvSpPr>
      <xdr:spPr bwMode="auto">
        <a:xfrm>
          <a:off x="1552575" y="6324600"/>
          <a:ext cx="914400" cy="485775"/>
        </a:xfrm>
        <a:prstGeom prst="ellipse">
          <a:avLst/>
        </a:prstGeom>
        <a:solidFill>
          <a:srgbClr val="FFFFFF">
            <a:alpha val="0"/>
          </a:srgbClr>
        </a:solidFill>
        <a:ln w="9525" algn="ctr">
          <a:solidFill>
            <a:srgbClr val="000000"/>
          </a:solidFill>
          <a:round/>
          <a:headEnd/>
          <a:tailEnd/>
        </a:ln>
      </xdr:spPr>
    </xdr:sp>
    <xdr:clientData/>
  </xdr:twoCellAnchor>
  <xdr:twoCellAnchor>
    <xdr:from>
      <xdr:col>1</xdr:col>
      <xdr:colOff>257175</xdr:colOff>
      <xdr:row>32</xdr:row>
      <xdr:rowOff>85725</xdr:rowOff>
    </xdr:from>
    <xdr:to>
      <xdr:col>2</xdr:col>
      <xdr:colOff>28575</xdr:colOff>
      <xdr:row>33</xdr:row>
      <xdr:rowOff>104775</xdr:rowOff>
    </xdr:to>
    <xdr:sp macro="" textlink="">
      <xdr:nvSpPr>
        <xdr:cNvPr id="12344" name="WordArt 56"/>
        <xdr:cNvSpPr>
          <a:spLocks noChangeArrowheads="1" noChangeShapeType="1" noTextEdit="1"/>
        </xdr:cNvSpPr>
      </xdr:nvSpPr>
      <xdr:spPr bwMode="auto">
        <a:xfrm>
          <a:off x="866775" y="5267325"/>
          <a:ext cx="381000" cy="180975"/>
        </a:xfrm>
        <a:prstGeom prst="rect">
          <a:avLst/>
        </a:prstGeom>
      </xdr:spPr>
      <xdr:txBody>
        <a:bodyPr wrap="none" fromWordArt="1">
          <a:prstTxWarp prst="textPlain">
            <a:avLst>
              <a:gd name="adj" fmla="val 50000"/>
            </a:avLst>
          </a:prstTxWarp>
        </a:bodyPr>
        <a:lstStyle/>
        <a:p>
          <a:pPr algn="ctr" rtl="0"/>
          <a:r>
            <a:rPr lang="en-US" sz="1200" kern="10" spc="0">
              <a:ln w="9525">
                <a:solidFill>
                  <a:srgbClr val="000000"/>
                </a:solidFill>
                <a:round/>
                <a:headEnd/>
                <a:tailEnd/>
              </a:ln>
              <a:solidFill>
                <a:srgbClr val="FFFFFF"/>
              </a:solidFill>
              <a:effectLst/>
              <a:latin typeface="Times New Roman"/>
              <a:cs typeface="Times New Roman"/>
            </a:rPr>
            <a:t>Grants</a:t>
          </a:r>
        </a:p>
      </xdr:txBody>
    </xdr:sp>
    <xdr:clientData/>
  </xdr:twoCellAnchor>
  <xdr:twoCellAnchor>
    <xdr:from>
      <xdr:col>1</xdr:col>
      <xdr:colOff>600075</xdr:colOff>
      <xdr:row>29</xdr:row>
      <xdr:rowOff>47625</xdr:rowOff>
    </xdr:from>
    <xdr:to>
      <xdr:col>2</xdr:col>
      <xdr:colOff>571500</xdr:colOff>
      <xdr:row>31</xdr:row>
      <xdr:rowOff>152400</xdr:rowOff>
    </xdr:to>
    <xdr:sp macro="" textlink="">
      <xdr:nvSpPr>
        <xdr:cNvPr id="12645" name="Line 57"/>
        <xdr:cNvSpPr>
          <a:spLocks noChangeShapeType="1"/>
        </xdr:cNvSpPr>
      </xdr:nvSpPr>
      <xdr:spPr bwMode="auto">
        <a:xfrm flipV="1">
          <a:off x="1209675" y="4743450"/>
          <a:ext cx="581025" cy="428625"/>
        </a:xfrm>
        <a:prstGeom prst="line">
          <a:avLst/>
        </a:prstGeom>
        <a:noFill/>
        <a:ln w="9525">
          <a:solidFill>
            <a:srgbClr val="000000"/>
          </a:solidFill>
          <a:round/>
          <a:headEnd/>
          <a:tailEnd type="triangle" w="med" len="med"/>
        </a:ln>
      </xdr:spPr>
    </xdr:sp>
    <xdr:clientData/>
  </xdr:twoCellAnchor>
  <xdr:twoCellAnchor>
    <xdr:from>
      <xdr:col>3</xdr:col>
      <xdr:colOff>238125</xdr:colOff>
      <xdr:row>30</xdr:row>
      <xdr:rowOff>47625</xdr:rowOff>
    </xdr:from>
    <xdr:to>
      <xdr:col>3</xdr:col>
      <xdr:colOff>485775</xdr:colOff>
      <xdr:row>35</xdr:row>
      <xdr:rowOff>133350</xdr:rowOff>
    </xdr:to>
    <xdr:sp macro="" textlink="">
      <xdr:nvSpPr>
        <xdr:cNvPr id="12646" name="Line 58"/>
        <xdr:cNvSpPr>
          <a:spLocks noChangeShapeType="1"/>
        </xdr:cNvSpPr>
      </xdr:nvSpPr>
      <xdr:spPr bwMode="auto">
        <a:xfrm flipV="1">
          <a:off x="2066925" y="4905375"/>
          <a:ext cx="247650" cy="895350"/>
        </a:xfrm>
        <a:prstGeom prst="line">
          <a:avLst/>
        </a:prstGeom>
        <a:noFill/>
        <a:ln w="9525">
          <a:solidFill>
            <a:srgbClr val="000000"/>
          </a:solidFill>
          <a:round/>
          <a:headEnd/>
          <a:tailEnd type="triangle" w="med" len="med"/>
        </a:ln>
      </xdr:spPr>
    </xdr:sp>
    <xdr:clientData/>
  </xdr:twoCellAnchor>
  <xdr:twoCellAnchor>
    <xdr:from>
      <xdr:col>3</xdr:col>
      <xdr:colOff>466725</xdr:colOff>
      <xdr:row>30</xdr:row>
      <xdr:rowOff>95250</xdr:rowOff>
    </xdr:from>
    <xdr:to>
      <xdr:col>4</xdr:col>
      <xdr:colOff>219075</xdr:colOff>
      <xdr:row>39</xdr:row>
      <xdr:rowOff>38100</xdr:rowOff>
    </xdr:to>
    <xdr:sp macro="" textlink="">
      <xdr:nvSpPr>
        <xdr:cNvPr id="12647" name="Line 59"/>
        <xdr:cNvSpPr>
          <a:spLocks noChangeShapeType="1"/>
        </xdr:cNvSpPr>
      </xdr:nvSpPr>
      <xdr:spPr bwMode="auto">
        <a:xfrm flipV="1">
          <a:off x="2295525" y="4953000"/>
          <a:ext cx="361950" cy="1400175"/>
        </a:xfrm>
        <a:prstGeom prst="line">
          <a:avLst/>
        </a:prstGeom>
        <a:noFill/>
        <a:ln w="9525">
          <a:solidFill>
            <a:srgbClr val="000000"/>
          </a:solidFill>
          <a:round/>
          <a:headEnd/>
          <a:tailEnd type="triangle" w="med" len="med"/>
        </a:ln>
      </xdr:spPr>
    </xdr:sp>
    <xdr:clientData/>
  </xdr:twoCellAnchor>
  <xdr:twoCellAnchor>
    <xdr:from>
      <xdr:col>4</xdr:col>
      <xdr:colOff>285750</xdr:colOff>
      <xdr:row>30</xdr:row>
      <xdr:rowOff>66675</xdr:rowOff>
    </xdr:from>
    <xdr:to>
      <xdr:col>5</xdr:col>
      <xdr:colOff>0</xdr:colOff>
      <xdr:row>41</xdr:row>
      <xdr:rowOff>104775</xdr:rowOff>
    </xdr:to>
    <xdr:sp macro="" textlink="">
      <xdr:nvSpPr>
        <xdr:cNvPr id="12648" name="Line 60"/>
        <xdr:cNvSpPr>
          <a:spLocks noChangeShapeType="1"/>
        </xdr:cNvSpPr>
      </xdr:nvSpPr>
      <xdr:spPr bwMode="auto">
        <a:xfrm flipV="1">
          <a:off x="2724150" y="4924425"/>
          <a:ext cx="323850" cy="1819275"/>
        </a:xfrm>
        <a:prstGeom prst="line">
          <a:avLst/>
        </a:prstGeom>
        <a:noFill/>
        <a:ln w="9525">
          <a:solidFill>
            <a:srgbClr val="000000"/>
          </a:solidFill>
          <a:round/>
          <a:headEnd/>
          <a:tailEnd type="triangle" w="med" len="med"/>
        </a:ln>
      </xdr:spPr>
    </xdr:sp>
    <xdr:clientData/>
  </xdr:twoCellAnchor>
  <xdr:twoCellAnchor>
    <xdr:from>
      <xdr:col>5</xdr:col>
      <xdr:colOff>238125</xdr:colOff>
      <xdr:row>30</xdr:row>
      <xdr:rowOff>76200</xdr:rowOff>
    </xdr:from>
    <xdr:to>
      <xdr:col>5</xdr:col>
      <xdr:colOff>390525</xdr:colOff>
      <xdr:row>45</xdr:row>
      <xdr:rowOff>85725</xdr:rowOff>
    </xdr:to>
    <xdr:sp macro="" textlink="">
      <xdr:nvSpPr>
        <xdr:cNvPr id="12649" name="Line 61"/>
        <xdr:cNvSpPr>
          <a:spLocks noChangeShapeType="1"/>
        </xdr:cNvSpPr>
      </xdr:nvSpPr>
      <xdr:spPr bwMode="auto">
        <a:xfrm flipH="1" flipV="1">
          <a:off x="3286125" y="4933950"/>
          <a:ext cx="152400" cy="2438400"/>
        </a:xfrm>
        <a:prstGeom prst="line">
          <a:avLst/>
        </a:prstGeom>
        <a:noFill/>
        <a:ln w="9525">
          <a:solidFill>
            <a:srgbClr val="000000"/>
          </a:solidFill>
          <a:round/>
          <a:headEnd/>
          <a:tailEnd type="triangle" w="med" len="med"/>
        </a:ln>
      </xdr:spPr>
    </xdr:sp>
    <xdr:clientData/>
  </xdr:twoCellAnchor>
  <xdr:twoCellAnchor>
    <xdr:from>
      <xdr:col>6</xdr:col>
      <xdr:colOff>28575</xdr:colOff>
      <xdr:row>30</xdr:row>
      <xdr:rowOff>47625</xdr:rowOff>
    </xdr:from>
    <xdr:to>
      <xdr:col>7</xdr:col>
      <xdr:colOff>19050</xdr:colOff>
      <xdr:row>48</xdr:row>
      <xdr:rowOff>104775</xdr:rowOff>
    </xdr:to>
    <xdr:sp macro="" textlink="">
      <xdr:nvSpPr>
        <xdr:cNvPr id="12650" name="Line 62"/>
        <xdr:cNvSpPr>
          <a:spLocks noChangeShapeType="1"/>
        </xdr:cNvSpPr>
      </xdr:nvSpPr>
      <xdr:spPr bwMode="auto">
        <a:xfrm flipH="1" flipV="1">
          <a:off x="3686175" y="4905375"/>
          <a:ext cx="600075" cy="2971800"/>
        </a:xfrm>
        <a:prstGeom prst="line">
          <a:avLst/>
        </a:prstGeom>
        <a:noFill/>
        <a:ln w="9525">
          <a:solidFill>
            <a:srgbClr val="000000"/>
          </a:solidFill>
          <a:round/>
          <a:headEnd/>
          <a:tailEnd type="triangle" w="med" len="med"/>
        </a:ln>
      </xdr:spPr>
    </xdr:sp>
    <xdr:clientData/>
  </xdr:twoCellAnchor>
  <xdr:twoCellAnchor>
    <xdr:from>
      <xdr:col>6</xdr:col>
      <xdr:colOff>276225</xdr:colOff>
      <xdr:row>29</xdr:row>
      <xdr:rowOff>152400</xdr:rowOff>
    </xdr:from>
    <xdr:to>
      <xdr:col>8</xdr:col>
      <xdr:colOff>285750</xdr:colOff>
      <xdr:row>51</xdr:row>
      <xdr:rowOff>76200</xdr:rowOff>
    </xdr:to>
    <xdr:sp macro="" textlink="">
      <xdr:nvSpPr>
        <xdr:cNvPr id="12651" name="Line 63"/>
        <xdr:cNvSpPr>
          <a:spLocks noChangeShapeType="1"/>
        </xdr:cNvSpPr>
      </xdr:nvSpPr>
      <xdr:spPr bwMode="auto">
        <a:xfrm flipH="1" flipV="1">
          <a:off x="3933825" y="4848225"/>
          <a:ext cx="1228725" cy="3486150"/>
        </a:xfrm>
        <a:prstGeom prst="line">
          <a:avLst/>
        </a:prstGeom>
        <a:noFill/>
        <a:ln w="9525">
          <a:solidFill>
            <a:srgbClr val="000000"/>
          </a:solidFill>
          <a:round/>
          <a:headEnd/>
          <a:tailEnd type="triangle" w="med" len="med"/>
        </a:ln>
      </xdr:spPr>
    </xdr:sp>
    <xdr:clientData/>
  </xdr:twoCellAnchor>
  <xdr:twoCellAnchor>
    <xdr:from>
      <xdr:col>6</xdr:col>
      <xdr:colOff>552450</xdr:colOff>
      <xdr:row>29</xdr:row>
      <xdr:rowOff>38100</xdr:rowOff>
    </xdr:from>
    <xdr:to>
      <xdr:col>9</xdr:col>
      <xdr:colOff>371475</xdr:colOff>
      <xdr:row>54</xdr:row>
      <xdr:rowOff>142875</xdr:rowOff>
    </xdr:to>
    <xdr:sp macro="" textlink="">
      <xdr:nvSpPr>
        <xdr:cNvPr id="12652" name="Line 64"/>
        <xdr:cNvSpPr>
          <a:spLocks noChangeShapeType="1"/>
        </xdr:cNvSpPr>
      </xdr:nvSpPr>
      <xdr:spPr bwMode="auto">
        <a:xfrm flipH="1" flipV="1">
          <a:off x="4210050" y="4733925"/>
          <a:ext cx="1647825" cy="4152900"/>
        </a:xfrm>
        <a:prstGeom prst="line">
          <a:avLst/>
        </a:prstGeom>
        <a:noFill/>
        <a:ln w="9525">
          <a:solidFill>
            <a:srgbClr val="000000"/>
          </a:solidFill>
          <a:round/>
          <a:headEnd/>
          <a:tailEnd type="triangle" w="med" len="med"/>
        </a:ln>
      </xdr:spPr>
    </xdr:sp>
    <xdr:clientData/>
  </xdr:twoCellAnchor>
  <xdr:twoCellAnchor>
    <xdr:from>
      <xdr:col>7</xdr:col>
      <xdr:colOff>133350</xdr:colOff>
      <xdr:row>28</xdr:row>
      <xdr:rowOff>66675</xdr:rowOff>
    </xdr:from>
    <xdr:to>
      <xdr:col>10</xdr:col>
      <xdr:colOff>409575</xdr:colOff>
      <xdr:row>57</xdr:row>
      <xdr:rowOff>104775</xdr:rowOff>
    </xdr:to>
    <xdr:sp macro="" textlink="">
      <xdr:nvSpPr>
        <xdr:cNvPr id="12653" name="Line 65"/>
        <xdr:cNvSpPr>
          <a:spLocks noChangeShapeType="1"/>
        </xdr:cNvSpPr>
      </xdr:nvSpPr>
      <xdr:spPr bwMode="auto">
        <a:xfrm flipH="1" flipV="1">
          <a:off x="4400550" y="4600575"/>
          <a:ext cx="2105025" cy="4733925"/>
        </a:xfrm>
        <a:prstGeom prst="line">
          <a:avLst/>
        </a:prstGeom>
        <a:noFill/>
        <a:ln w="9525">
          <a:solidFill>
            <a:srgbClr val="000000"/>
          </a:solidFill>
          <a:round/>
          <a:headEnd/>
          <a:tailEnd type="triangle" w="med" len="med"/>
        </a:ln>
      </xdr:spPr>
    </xdr:sp>
    <xdr:clientData/>
  </xdr:twoCellAnchor>
  <xdr:twoCellAnchor>
    <xdr:from>
      <xdr:col>9</xdr:col>
      <xdr:colOff>400050</xdr:colOff>
      <xdr:row>30</xdr:row>
      <xdr:rowOff>28575</xdr:rowOff>
    </xdr:from>
    <xdr:to>
      <xdr:col>10</xdr:col>
      <xdr:colOff>123825</xdr:colOff>
      <xdr:row>32</xdr:row>
      <xdr:rowOff>66675</xdr:rowOff>
    </xdr:to>
    <xdr:sp macro="" textlink="">
      <xdr:nvSpPr>
        <xdr:cNvPr id="12654" name="Line 66"/>
        <xdr:cNvSpPr>
          <a:spLocks noChangeShapeType="1"/>
        </xdr:cNvSpPr>
      </xdr:nvSpPr>
      <xdr:spPr bwMode="auto">
        <a:xfrm flipV="1">
          <a:off x="5886450" y="4886325"/>
          <a:ext cx="333375" cy="361950"/>
        </a:xfrm>
        <a:prstGeom prst="line">
          <a:avLst/>
        </a:prstGeom>
        <a:noFill/>
        <a:ln w="9525">
          <a:solidFill>
            <a:srgbClr val="000000"/>
          </a:solidFill>
          <a:round/>
          <a:headEnd/>
          <a:tailEnd type="triangle" w="med" len="med"/>
        </a:ln>
      </xdr:spPr>
    </xdr:sp>
    <xdr:clientData/>
  </xdr:twoCellAnchor>
  <xdr:twoCellAnchor>
    <xdr:from>
      <xdr:col>11</xdr:col>
      <xdr:colOff>66675</xdr:colOff>
      <xdr:row>31</xdr:row>
      <xdr:rowOff>19050</xdr:rowOff>
    </xdr:from>
    <xdr:to>
      <xdr:col>11</xdr:col>
      <xdr:colOff>66675</xdr:colOff>
      <xdr:row>35</xdr:row>
      <xdr:rowOff>57150</xdr:rowOff>
    </xdr:to>
    <xdr:sp macro="" textlink="">
      <xdr:nvSpPr>
        <xdr:cNvPr id="12655" name="Line 67"/>
        <xdr:cNvSpPr>
          <a:spLocks noChangeShapeType="1"/>
        </xdr:cNvSpPr>
      </xdr:nvSpPr>
      <xdr:spPr bwMode="auto">
        <a:xfrm flipV="1">
          <a:off x="6772275" y="5038725"/>
          <a:ext cx="0" cy="685800"/>
        </a:xfrm>
        <a:prstGeom prst="line">
          <a:avLst/>
        </a:prstGeom>
        <a:noFill/>
        <a:ln w="9525">
          <a:solidFill>
            <a:srgbClr val="000000"/>
          </a:solidFill>
          <a:round/>
          <a:headEnd/>
          <a:tailEnd type="triangle" w="med" len="med"/>
        </a:ln>
      </xdr:spPr>
    </xdr:sp>
    <xdr:clientData/>
  </xdr:twoCellAnchor>
  <xdr:twoCellAnchor>
    <xdr:from>
      <xdr:col>12</xdr:col>
      <xdr:colOff>133350</xdr:colOff>
      <xdr:row>30</xdr:row>
      <xdr:rowOff>104775</xdr:rowOff>
    </xdr:from>
    <xdr:to>
      <xdr:col>12</xdr:col>
      <xdr:colOff>457200</xdr:colOff>
      <xdr:row>40</xdr:row>
      <xdr:rowOff>95250</xdr:rowOff>
    </xdr:to>
    <xdr:sp macro="" textlink="">
      <xdr:nvSpPr>
        <xdr:cNvPr id="12656" name="Line 68"/>
        <xdr:cNvSpPr>
          <a:spLocks noChangeShapeType="1"/>
        </xdr:cNvSpPr>
      </xdr:nvSpPr>
      <xdr:spPr bwMode="auto">
        <a:xfrm flipH="1" flipV="1">
          <a:off x="7448550" y="4962525"/>
          <a:ext cx="323850" cy="1609725"/>
        </a:xfrm>
        <a:prstGeom prst="line">
          <a:avLst/>
        </a:prstGeom>
        <a:noFill/>
        <a:ln w="9525">
          <a:solidFill>
            <a:srgbClr val="000000"/>
          </a:solidFill>
          <a:round/>
          <a:headEnd/>
          <a:tailEnd type="triangle" w="med" len="med"/>
        </a:ln>
      </xdr:spPr>
    </xdr:sp>
    <xdr:clientData/>
  </xdr:twoCellAnchor>
  <xdr:twoCellAnchor>
    <xdr:from>
      <xdr:col>12</xdr:col>
      <xdr:colOff>485775</xdr:colOff>
      <xdr:row>29</xdr:row>
      <xdr:rowOff>76200</xdr:rowOff>
    </xdr:from>
    <xdr:to>
      <xdr:col>15</xdr:col>
      <xdr:colOff>19050</xdr:colOff>
      <xdr:row>43</xdr:row>
      <xdr:rowOff>95250</xdr:rowOff>
    </xdr:to>
    <xdr:sp macro="" textlink="">
      <xdr:nvSpPr>
        <xdr:cNvPr id="12657" name="Line 69"/>
        <xdr:cNvSpPr>
          <a:spLocks noChangeShapeType="1"/>
        </xdr:cNvSpPr>
      </xdr:nvSpPr>
      <xdr:spPr bwMode="auto">
        <a:xfrm flipH="1" flipV="1">
          <a:off x="7800975" y="4772025"/>
          <a:ext cx="1362075" cy="2286000"/>
        </a:xfrm>
        <a:prstGeom prst="line">
          <a:avLst/>
        </a:prstGeom>
        <a:noFill/>
        <a:ln w="9525">
          <a:solidFill>
            <a:srgbClr val="000000"/>
          </a:solidFill>
          <a:round/>
          <a:headEnd/>
          <a:tailEnd type="triangle" w="med" len="me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1438275</xdr:colOff>
      <xdr:row>10</xdr:row>
      <xdr:rowOff>57150</xdr:rowOff>
    </xdr:from>
    <xdr:to>
      <xdr:col>2</xdr:col>
      <xdr:colOff>19050</xdr:colOff>
      <xdr:row>11</xdr:row>
      <xdr:rowOff>152400</xdr:rowOff>
    </xdr:to>
    <xdr:sp macro="" textlink="">
      <xdr:nvSpPr>
        <xdr:cNvPr id="11276" name="WordArt 12">
          <a:hlinkClick xmlns:r="http://schemas.openxmlformats.org/officeDocument/2006/relationships" r:id="rId1"/>
        </xdr:cNvPr>
        <xdr:cNvSpPr>
          <a:spLocks noChangeArrowheads="1" noChangeShapeType="1" noTextEdit="1"/>
        </xdr:cNvSpPr>
      </xdr:nvSpPr>
      <xdr:spPr bwMode="auto">
        <a:xfrm rot="-934092">
          <a:off x="1438275" y="1457325"/>
          <a:ext cx="2314575" cy="0"/>
        </a:xfrm>
        <a:prstGeom prst="rect">
          <a:avLst/>
        </a:prstGeom>
      </xdr:spPr>
      <xdr:txBody>
        <a:bodyPr wrap="none" fromWordArt="1">
          <a:prstTxWarp prst="textPlain">
            <a:avLst>
              <a:gd name="adj" fmla="val 50000"/>
            </a:avLst>
          </a:prstTxWarp>
        </a:bodyPr>
        <a:lstStyle/>
        <a:p>
          <a:pPr algn="ctr" rtl="0"/>
          <a:r>
            <a:rPr lang="en-US" sz="1800" b="1" kern="10" spc="0">
              <a:ln w="9525">
                <a:solidFill>
                  <a:srgbClr val="000000"/>
                </a:solidFill>
                <a:round/>
                <a:headEnd/>
                <a:tailEnd/>
              </a:ln>
              <a:solidFill>
                <a:srgbClr val="FF0000"/>
              </a:solidFill>
              <a:effectLst/>
              <a:latin typeface="Times New Roman"/>
              <a:cs typeface="Times New Roman"/>
            </a:rPr>
            <a:t>Return to Influence chart</a:t>
          </a:r>
        </a:p>
      </xdr:txBody>
    </xdr:sp>
    <xdr:clientData/>
  </xdr:twoCellAnchor>
  <xdr:oneCellAnchor>
    <xdr:from>
      <xdr:col>0</xdr:col>
      <xdr:colOff>1352550</xdr:colOff>
      <xdr:row>9</xdr:row>
      <xdr:rowOff>539</xdr:rowOff>
    </xdr:from>
    <xdr:ext cx="1695450" cy="530658"/>
    <xdr:sp macro="" textlink="">
      <xdr:nvSpPr>
        <xdr:cNvPr id="3" name="Rectangle 2">
          <a:hlinkClick xmlns:r="http://schemas.openxmlformats.org/officeDocument/2006/relationships" r:id="rId1"/>
        </xdr:cNvPr>
        <xdr:cNvSpPr/>
      </xdr:nvSpPr>
      <xdr:spPr>
        <a:xfrm>
          <a:off x="1352550" y="1457864"/>
          <a:ext cx="1695450" cy="530658"/>
        </a:xfrm>
        <a:prstGeom prst="rect">
          <a:avLst/>
        </a:prstGeom>
        <a:solidFill>
          <a:sysClr val="window" lastClr="FFFFFF"/>
        </a:solidFill>
      </xdr:spPr>
      <xdr:txBody>
        <a:bodyPr wrap="square" lIns="91440" tIns="45720" rIns="91440" bIns="45720">
          <a:spAutoFit/>
          <a:scene3d>
            <a:camera prst="orthographicFront">
              <a:rot lat="0" lon="0" rev="1500000"/>
            </a:camera>
            <a:lightRig rig="threePt" dir="t"/>
          </a:scene3d>
        </a:bodyPr>
        <a:lstStyle/>
        <a:p>
          <a:pPr algn="ctr"/>
          <a:r>
            <a:rPr lang="en-US" sz="1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Return to Influence Chart</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38100</xdr:colOff>
      <xdr:row>3</xdr:row>
      <xdr:rowOff>28575</xdr:rowOff>
    </xdr:from>
    <xdr:to>
      <xdr:col>12</xdr:col>
      <xdr:colOff>28575</xdr:colOff>
      <xdr:row>17</xdr:row>
      <xdr:rowOff>28575</xdr:rowOff>
    </xdr:to>
    <xdr:graphicFrame macro="">
      <xdr:nvGraphicFramePr>
        <xdr:cNvPr id="1029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xdr:colOff>
      <xdr:row>17</xdr:row>
      <xdr:rowOff>142875</xdr:rowOff>
    </xdr:from>
    <xdr:to>
      <xdr:col>12</xdr:col>
      <xdr:colOff>19050</xdr:colOff>
      <xdr:row>34</xdr:row>
      <xdr:rowOff>19050</xdr:rowOff>
    </xdr:to>
    <xdr:graphicFrame macro="">
      <xdr:nvGraphicFramePr>
        <xdr:cNvPr id="1029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19050</xdr:colOff>
      <xdr:row>35</xdr:row>
      <xdr:rowOff>19050</xdr:rowOff>
    </xdr:from>
    <xdr:to>
      <xdr:col>12</xdr:col>
      <xdr:colOff>19050</xdr:colOff>
      <xdr:row>49</xdr:row>
      <xdr:rowOff>104775</xdr:rowOff>
    </xdr:to>
    <xdr:graphicFrame macro="">
      <xdr:nvGraphicFramePr>
        <xdr:cNvPr id="1029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50</xdr:row>
      <xdr:rowOff>9525</xdr:rowOff>
    </xdr:from>
    <xdr:to>
      <xdr:col>12</xdr:col>
      <xdr:colOff>38100</xdr:colOff>
      <xdr:row>64</xdr:row>
      <xdr:rowOff>85725</xdr:rowOff>
    </xdr:to>
    <xdr:graphicFrame macro="">
      <xdr:nvGraphicFramePr>
        <xdr:cNvPr id="1029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95250</xdr:colOff>
      <xdr:row>65</xdr:row>
      <xdr:rowOff>19050</xdr:rowOff>
    </xdr:from>
    <xdr:to>
      <xdr:col>12</xdr:col>
      <xdr:colOff>85725</xdr:colOff>
      <xdr:row>78</xdr:row>
      <xdr:rowOff>133350</xdr:rowOff>
    </xdr:to>
    <xdr:graphicFrame macro="">
      <xdr:nvGraphicFramePr>
        <xdr:cNvPr id="1029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114300</xdr:colOff>
      <xdr:row>79</xdr:row>
      <xdr:rowOff>133350</xdr:rowOff>
    </xdr:from>
    <xdr:to>
      <xdr:col>12</xdr:col>
      <xdr:colOff>76200</xdr:colOff>
      <xdr:row>94</xdr:row>
      <xdr:rowOff>9525</xdr:rowOff>
    </xdr:to>
    <xdr:graphicFrame macro="">
      <xdr:nvGraphicFramePr>
        <xdr:cNvPr id="1029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133350</xdr:colOff>
      <xdr:row>94</xdr:row>
      <xdr:rowOff>152400</xdr:rowOff>
    </xdr:from>
    <xdr:to>
      <xdr:col>12</xdr:col>
      <xdr:colOff>95250</xdr:colOff>
      <xdr:row>108</xdr:row>
      <xdr:rowOff>123825</xdr:rowOff>
    </xdr:to>
    <xdr:graphicFrame macro="">
      <xdr:nvGraphicFramePr>
        <xdr:cNvPr id="1029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171450</xdr:colOff>
      <xdr:row>110</xdr:row>
      <xdr:rowOff>0</xdr:rowOff>
    </xdr:from>
    <xdr:to>
      <xdr:col>12</xdr:col>
      <xdr:colOff>161925</xdr:colOff>
      <xdr:row>124</xdr:row>
      <xdr:rowOff>85725</xdr:rowOff>
    </xdr:to>
    <xdr:graphicFrame macro="">
      <xdr:nvGraphicFramePr>
        <xdr:cNvPr id="10300"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180975</xdr:colOff>
      <xdr:row>125</xdr:row>
      <xdr:rowOff>104775</xdr:rowOff>
    </xdr:from>
    <xdr:to>
      <xdr:col>12</xdr:col>
      <xdr:colOff>200025</xdr:colOff>
      <xdr:row>140</xdr:row>
      <xdr:rowOff>104775</xdr:rowOff>
    </xdr:to>
    <xdr:graphicFrame macro="">
      <xdr:nvGraphicFramePr>
        <xdr:cNvPr id="1030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419100</xdr:colOff>
          <xdr:row>4</xdr:row>
          <xdr:rowOff>38100</xdr:rowOff>
        </xdr:from>
        <xdr:to>
          <xdr:col>14</xdr:col>
          <xdr:colOff>114300</xdr:colOff>
          <xdr:row>8</xdr:row>
          <xdr:rowOff>142875</xdr:rowOff>
        </xdr:to>
        <xdr:sp macro="" textlink="">
          <xdr:nvSpPr>
            <xdr:cNvPr id="10243" name="CommandButton1"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L44"/>
  <sheetViews>
    <sheetView workbookViewId="0"/>
  </sheetViews>
  <sheetFormatPr defaultColWidth="8.85546875" defaultRowHeight="12.75" x14ac:dyDescent="0.2"/>
  <sheetData>
    <row r="1" spans="1:3" x14ac:dyDescent="0.2">
      <c r="A1" s="1" t="s">
        <v>222</v>
      </c>
    </row>
    <row r="2" spans="1:3" x14ac:dyDescent="0.2">
      <c r="A2" s="1" t="s">
        <v>170</v>
      </c>
    </row>
    <row r="3" spans="1:3" x14ac:dyDescent="0.2">
      <c r="A3" t="s">
        <v>10</v>
      </c>
    </row>
    <row r="4" spans="1:3" x14ac:dyDescent="0.2">
      <c r="A4" t="s">
        <v>25</v>
      </c>
    </row>
    <row r="5" spans="1:3" x14ac:dyDescent="0.2">
      <c r="A5" t="s">
        <v>40</v>
      </c>
      <c r="C5" s="1" t="s">
        <v>105</v>
      </c>
    </row>
    <row r="7" spans="1:3" x14ac:dyDescent="0.2">
      <c r="C7" t="s">
        <v>224</v>
      </c>
    </row>
    <row r="8" spans="1:3" x14ac:dyDescent="0.2">
      <c r="C8" t="s">
        <v>139</v>
      </c>
    </row>
    <row r="9" spans="1:3" x14ac:dyDescent="0.2">
      <c r="C9" t="s">
        <v>140</v>
      </c>
    </row>
    <row r="11" spans="1:3" x14ac:dyDescent="0.2">
      <c r="C11" t="s">
        <v>106</v>
      </c>
    </row>
    <row r="12" spans="1:3" x14ac:dyDescent="0.2">
      <c r="C12" t="s">
        <v>223</v>
      </c>
    </row>
    <row r="13" spans="1:3" x14ac:dyDescent="0.2">
      <c r="C13" t="s">
        <v>41</v>
      </c>
    </row>
    <row r="15" spans="1:3" x14ac:dyDescent="0.2">
      <c r="C15" t="s">
        <v>107</v>
      </c>
    </row>
    <row r="16" spans="1:3" x14ac:dyDescent="0.2">
      <c r="C16" t="s">
        <v>108</v>
      </c>
    </row>
    <row r="17" spans="3:3" x14ac:dyDescent="0.2">
      <c r="C17" t="s">
        <v>109</v>
      </c>
    </row>
    <row r="18" spans="3:3" x14ac:dyDescent="0.2">
      <c r="C18" s="5" t="s">
        <v>110</v>
      </c>
    </row>
    <row r="19" spans="3:3" x14ac:dyDescent="0.2">
      <c r="C19" t="s">
        <v>50</v>
      </c>
    </row>
    <row r="21" spans="3:3" x14ac:dyDescent="0.2">
      <c r="C21" t="s">
        <v>132</v>
      </c>
    </row>
    <row r="22" spans="3:3" x14ac:dyDescent="0.2">
      <c r="C22" t="s">
        <v>141</v>
      </c>
    </row>
    <row r="23" spans="3:3" x14ac:dyDescent="0.2">
      <c r="C23" t="s">
        <v>133</v>
      </c>
    </row>
    <row r="24" spans="3:3" x14ac:dyDescent="0.2">
      <c r="C24" t="s">
        <v>134</v>
      </c>
    </row>
    <row r="25" spans="3:3" x14ac:dyDescent="0.2">
      <c r="C25" t="s">
        <v>135</v>
      </c>
    </row>
    <row r="27" spans="3:3" x14ac:dyDescent="0.2">
      <c r="C27" t="s">
        <v>225</v>
      </c>
    </row>
    <row r="28" spans="3:3" x14ac:dyDescent="0.2">
      <c r="C28" t="s">
        <v>128</v>
      </c>
    </row>
    <row r="29" spans="3:3" x14ac:dyDescent="0.2">
      <c r="C29" t="s">
        <v>127</v>
      </c>
    </row>
    <row r="30" spans="3:3" x14ac:dyDescent="0.2">
      <c r="C30" t="s">
        <v>136</v>
      </c>
    </row>
    <row r="32" spans="3:3" x14ac:dyDescent="0.2">
      <c r="C32" t="s">
        <v>129</v>
      </c>
    </row>
    <row r="33" spans="3:12" x14ac:dyDescent="0.2">
      <c r="C33" t="s">
        <v>130</v>
      </c>
    </row>
    <row r="34" spans="3:12" x14ac:dyDescent="0.2">
      <c r="C34" t="s">
        <v>131</v>
      </c>
    </row>
    <row r="35" spans="3:12" x14ac:dyDescent="0.2">
      <c r="C35" t="s">
        <v>35</v>
      </c>
    </row>
    <row r="37" spans="3:12" x14ac:dyDescent="0.2">
      <c r="C37" s="9" t="s">
        <v>8</v>
      </c>
      <c r="L37" s="9" t="s">
        <v>161</v>
      </c>
    </row>
    <row r="38" spans="3:12" x14ac:dyDescent="0.2">
      <c r="C38" s="9" t="s">
        <v>154</v>
      </c>
      <c r="L38" s="9" t="s">
        <v>162</v>
      </c>
    </row>
    <row r="39" spans="3:12" x14ac:dyDescent="0.2">
      <c r="C39" s="9" t="s">
        <v>155</v>
      </c>
      <c r="L39" s="9" t="s">
        <v>163</v>
      </c>
    </row>
    <row r="40" spans="3:12" x14ac:dyDescent="0.2">
      <c r="C40" s="9" t="s">
        <v>156</v>
      </c>
      <c r="L40" s="9" t="s">
        <v>164</v>
      </c>
    </row>
    <row r="41" spans="3:12" x14ac:dyDescent="0.2">
      <c r="C41" s="9" t="s">
        <v>157</v>
      </c>
      <c r="L41" s="9" t="s">
        <v>165</v>
      </c>
    </row>
    <row r="42" spans="3:12" x14ac:dyDescent="0.2">
      <c r="C42" s="9" t="s">
        <v>158</v>
      </c>
      <c r="L42" s="9"/>
    </row>
    <row r="43" spans="3:12" x14ac:dyDescent="0.2">
      <c r="C43" s="9" t="s">
        <v>159</v>
      </c>
      <c r="L43" s="9" t="s">
        <v>226</v>
      </c>
    </row>
    <row r="44" spans="3:12" x14ac:dyDescent="0.2">
      <c r="C44" s="9" t="s">
        <v>160</v>
      </c>
    </row>
  </sheetData>
  <phoneticPr fontId="0" type="noConversion"/>
  <printOptions verticalCentered="1"/>
  <pageMargins left="0.5" right="0.5" top="0.5" bottom="0.75" header="0.5" footer="0.5"/>
  <pageSetup paperSize="5" scale="79" orientation="landscape" horizontalDpi="4294967293" verticalDpi="4294967293" r:id="rId1"/>
  <headerFooter alignWithMargins="0">
    <oddHeader>&amp;F</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24"/>
  <sheetViews>
    <sheetView tabSelected="1" workbookViewId="0"/>
  </sheetViews>
  <sheetFormatPr defaultColWidth="8.85546875" defaultRowHeight="12.75" x14ac:dyDescent="0.2"/>
  <sheetData>
    <row r="1" spans="1:3" x14ac:dyDescent="0.2">
      <c r="A1" s="1" t="s">
        <v>222</v>
      </c>
    </row>
    <row r="2" spans="1:3" x14ac:dyDescent="0.2">
      <c r="A2" s="1" t="s">
        <v>170</v>
      </c>
    </row>
    <row r="4" spans="1:3" x14ac:dyDescent="0.2">
      <c r="B4" s="1" t="s">
        <v>227</v>
      </c>
    </row>
    <row r="6" spans="1:3" x14ac:dyDescent="0.2">
      <c r="B6" s="15">
        <v>1</v>
      </c>
      <c r="C6" s="198" t="s">
        <v>228</v>
      </c>
    </row>
    <row r="7" spans="1:3" x14ac:dyDescent="0.2">
      <c r="B7" s="15">
        <v>2</v>
      </c>
      <c r="C7" s="14" t="s">
        <v>229</v>
      </c>
    </row>
    <row r="8" spans="1:3" x14ac:dyDescent="0.2">
      <c r="B8" s="15"/>
      <c r="C8" s="14" t="s">
        <v>230</v>
      </c>
    </row>
    <row r="9" spans="1:3" x14ac:dyDescent="0.2">
      <c r="B9" s="15"/>
      <c r="C9" s="14" t="s">
        <v>45</v>
      </c>
    </row>
    <row r="10" spans="1:3" x14ac:dyDescent="0.2">
      <c r="B10" s="15"/>
      <c r="C10" s="14" t="s">
        <v>0</v>
      </c>
    </row>
    <row r="11" spans="1:3" x14ac:dyDescent="0.2">
      <c r="B11" s="15"/>
      <c r="C11" s="14" t="s">
        <v>231</v>
      </c>
    </row>
    <row r="12" spans="1:3" x14ac:dyDescent="0.2">
      <c r="B12" s="15">
        <v>3</v>
      </c>
      <c r="C12" s="14" t="s">
        <v>232</v>
      </c>
    </row>
    <row r="13" spans="1:3" x14ac:dyDescent="0.2">
      <c r="B13" s="15"/>
      <c r="C13" s="14" t="s">
        <v>1</v>
      </c>
    </row>
    <row r="14" spans="1:3" x14ac:dyDescent="0.2">
      <c r="B14" s="15">
        <v>4</v>
      </c>
      <c r="C14" s="14" t="s">
        <v>233</v>
      </c>
    </row>
    <row r="15" spans="1:3" x14ac:dyDescent="0.2">
      <c r="B15" s="15">
        <v>5</v>
      </c>
      <c r="C15" s="14" t="s">
        <v>2</v>
      </c>
    </row>
    <row r="16" spans="1:3" x14ac:dyDescent="0.2">
      <c r="B16" s="15">
        <v>6</v>
      </c>
      <c r="C16" s="14" t="s">
        <v>234</v>
      </c>
    </row>
    <row r="17" spans="2:3" x14ac:dyDescent="0.2">
      <c r="B17" s="15"/>
      <c r="C17" s="14" t="s">
        <v>42</v>
      </c>
    </row>
    <row r="18" spans="2:3" x14ac:dyDescent="0.2">
      <c r="B18" s="15">
        <v>7</v>
      </c>
      <c r="C18" s="14" t="s">
        <v>235</v>
      </c>
    </row>
    <row r="19" spans="2:3" x14ac:dyDescent="0.2">
      <c r="B19" s="15"/>
      <c r="C19" s="14" t="s">
        <v>236</v>
      </c>
    </row>
    <row r="20" spans="2:3" x14ac:dyDescent="0.2">
      <c r="B20" s="15">
        <v>8</v>
      </c>
      <c r="C20" s="14" t="s">
        <v>46</v>
      </c>
    </row>
    <row r="21" spans="2:3" x14ac:dyDescent="0.2">
      <c r="C21" s="14" t="s">
        <v>47</v>
      </c>
    </row>
    <row r="22" spans="2:3" x14ac:dyDescent="0.2">
      <c r="B22" s="15"/>
      <c r="C22" s="14"/>
    </row>
    <row r="23" spans="2:3" x14ac:dyDescent="0.2">
      <c r="C23" s="14"/>
    </row>
    <row r="24" spans="2:3" x14ac:dyDescent="0.2">
      <c r="C24" s="14"/>
    </row>
  </sheetData>
  <phoneticPr fontId="0" type="noConversion"/>
  <printOptions verticalCentered="1"/>
  <pageMargins left="0.5" right="0.5" top="0.5" bottom="0.75" header="0.5" footer="0.5"/>
  <pageSetup paperSize="5" orientation="landscape" horizontalDpi="4294967293" verticalDpi="4294967293" r:id="rId1"/>
  <headerFooter alignWithMargins="0">
    <oddHeader>&amp;F</oddHead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7"/>
  <sheetViews>
    <sheetView workbookViewId="0"/>
  </sheetViews>
  <sheetFormatPr defaultRowHeight="12.75" x14ac:dyDescent="0.2"/>
  <sheetData>
    <row r="1" spans="1:3" x14ac:dyDescent="0.2">
      <c r="A1" s="1" t="s">
        <v>222</v>
      </c>
    </row>
    <row r="2" spans="1:3" x14ac:dyDescent="0.2">
      <c r="A2" s="1" t="s">
        <v>170</v>
      </c>
    </row>
    <row r="4" spans="1:3" x14ac:dyDescent="0.2">
      <c r="B4" s="1"/>
    </row>
    <row r="6" spans="1:3" x14ac:dyDescent="0.2">
      <c r="B6" t="s">
        <v>32</v>
      </c>
    </row>
    <row r="7" spans="1:3" x14ac:dyDescent="0.2">
      <c r="B7" t="s">
        <v>48</v>
      </c>
    </row>
    <row r="8" spans="1:3" x14ac:dyDescent="0.2">
      <c r="C8" t="s">
        <v>49</v>
      </c>
    </row>
    <row r="9" spans="1:3" x14ac:dyDescent="0.2">
      <c r="B9" t="s">
        <v>3</v>
      </c>
    </row>
    <row r="10" spans="1:3" x14ac:dyDescent="0.2">
      <c r="B10" t="s">
        <v>33</v>
      </c>
    </row>
    <row r="11" spans="1:3" x14ac:dyDescent="0.2">
      <c r="B11" t="s">
        <v>34</v>
      </c>
    </row>
    <row r="12" spans="1:3" x14ac:dyDescent="0.2">
      <c r="B12" t="s">
        <v>111</v>
      </c>
    </row>
    <row r="14" spans="1:3" x14ac:dyDescent="0.2">
      <c r="B14" t="s">
        <v>115</v>
      </c>
    </row>
    <row r="15" spans="1:3" x14ac:dyDescent="0.2">
      <c r="B15" t="s">
        <v>116</v>
      </c>
    </row>
    <row r="16" spans="1:3" x14ac:dyDescent="0.2">
      <c r="B16" t="s">
        <v>118</v>
      </c>
    </row>
    <row r="17" spans="2:3" x14ac:dyDescent="0.2">
      <c r="B17" t="s">
        <v>117</v>
      </c>
    </row>
    <row r="19" spans="2:3" x14ac:dyDescent="0.2">
      <c r="B19" t="s">
        <v>237</v>
      </c>
    </row>
    <row r="20" spans="2:3" x14ac:dyDescent="0.2">
      <c r="B20" t="s">
        <v>125</v>
      </c>
    </row>
    <row r="21" spans="2:3" x14ac:dyDescent="0.2">
      <c r="B21" t="s">
        <v>126</v>
      </c>
    </row>
    <row r="23" spans="2:3" x14ac:dyDescent="0.2">
      <c r="B23" t="s">
        <v>238</v>
      </c>
    </row>
    <row r="25" spans="2:3" x14ac:dyDescent="0.2">
      <c r="B25" t="s">
        <v>239</v>
      </c>
    </row>
    <row r="26" spans="2:3" x14ac:dyDescent="0.2">
      <c r="C26" t="s">
        <v>70</v>
      </c>
    </row>
    <row r="27" spans="2:3" x14ac:dyDescent="0.2">
      <c r="C27" t="s">
        <v>240</v>
      </c>
    </row>
    <row r="29" spans="2:3" x14ac:dyDescent="0.2">
      <c r="B29" t="s">
        <v>80</v>
      </c>
    </row>
    <row r="30" spans="2:3" x14ac:dyDescent="0.2">
      <c r="C30" t="s">
        <v>79</v>
      </c>
    </row>
    <row r="32" spans="2:3" x14ac:dyDescent="0.2">
      <c r="B32" t="s">
        <v>44</v>
      </c>
    </row>
    <row r="33" spans="2:3" x14ac:dyDescent="0.2">
      <c r="C33" t="s">
        <v>43</v>
      </c>
    </row>
    <row r="34" spans="2:3" x14ac:dyDescent="0.2">
      <c r="B34" t="s">
        <v>241</v>
      </c>
    </row>
    <row r="35" spans="2:3" x14ac:dyDescent="0.2">
      <c r="C35" t="s">
        <v>212</v>
      </c>
    </row>
    <row r="36" spans="2:3" x14ac:dyDescent="0.2">
      <c r="B36" t="s">
        <v>213</v>
      </c>
    </row>
    <row r="37" spans="2:3" x14ac:dyDescent="0.2">
      <c r="B37" t="s">
        <v>242</v>
      </c>
    </row>
  </sheetData>
  <phoneticPr fontId="13"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31"/>
  <sheetViews>
    <sheetView zoomScale="70" zoomScaleNormal="70" workbookViewId="0">
      <selection activeCell="A3" sqref="A3"/>
    </sheetView>
  </sheetViews>
  <sheetFormatPr defaultRowHeight="15" customHeight="1" x14ac:dyDescent="0.2"/>
  <cols>
    <col min="1" max="1" width="6.42578125" customWidth="1"/>
    <col min="2" max="2" width="27.140625" customWidth="1"/>
    <col min="3" max="3" width="21.7109375" customWidth="1"/>
    <col min="4" max="4" width="33" customWidth="1"/>
    <col min="5" max="5" width="16.7109375" customWidth="1"/>
    <col min="6" max="6" width="21.85546875" customWidth="1"/>
    <col min="7" max="15" width="18.85546875" customWidth="1"/>
  </cols>
  <sheetData>
    <row r="1" spans="1:6" s="203" customFormat="1" ht="15" customHeight="1" x14ac:dyDescent="0.25">
      <c r="A1" s="209" t="s">
        <v>222</v>
      </c>
    </row>
    <row r="2" spans="1:6" s="203" customFormat="1" ht="15" customHeight="1" x14ac:dyDescent="0.25">
      <c r="A2" s="209" t="s">
        <v>170</v>
      </c>
    </row>
    <row r="3" spans="1:6" s="210" customFormat="1" ht="15" customHeight="1" x14ac:dyDescent="0.2"/>
    <row r="4" spans="1:6" s="210" customFormat="1" ht="15" customHeight="1" x14ac:dyDescent="0.2"/>
    <row r="5" spans="1:6" ht="15" customHeight="1" x14ac:dyDescent="0.25">
      <c r="B5" s="203"/>
      <c r="C5" s="203"/>
      <c r="D5" s="203"/>
      <c r="E5" s="203"/>
    </row>
    <row r="6" spans="1:6" ht="15" customHeight="1" x14ac:dyDescent="0.25">
      <c r="A6" s="203"/>
      <c r="B6" s="204" t="s">
        <v>243</v>
      </c>
      <c r="C6" s="203"/>
      <c r="D6" s="203"/>
      <c r="E6" s="203"/>
      <c r="F6" s="203"/>
    </row>
    <row r="7" spans="1:6" ht="15" customHeight="1" x14ac:dyDescent="0.25">
      <c r="A7" s="203"/>
      <c r="B7" s="205"/>
      <c r="C7" s="203"/>
      <c r="D7" s="203"/>
      <c r="E7" s="203"/>
      <c r="F7" s="203"/>
    </row>
    <row r="8" spans="1:6" ht="15" customHeight="1" x14ac:dyDescent="0.25">
      <c r="A8" s="203"/>
      <c r="B8" s="205"/>
      <c r="C8" s="203"/>
      <c r="D8" s="203"/>
      <c r="E8" s="203"/>
      <c r="F8" s="203"/>
    </row>
    <row r="9" spans="1:6" ht="15" customHeight="1" x14ac:dyDescent="0.25">
      <c r="A9" s="203"/>
      <c r="B9" s="204" t="s">
        <v>244</v>
      </c>
      <c r="C9" s="204"/>
      <c r="D9" s="203"/>
      <c r="E9" s="203"/>
      <c r="F9" s="203"/>
    </row>
    <row r="10" spans="1:6" ht="15" customHeight="1" x14ac:dyDescent="0.25">
      <c r="A10" s="203"/>
      <c r="B10" s="205"/>
      <c r="C10" s="203"/>
      <c r="D10" s="203"/>
      <c r="E10" s="203"/>
      <c r="F10" s="203"/>
    </row>
    <row r="11" spans="1:6" ht="15" customHeight="1" x14ac:dyDescent="0.25">
      <c r="A11" s="203"/>
      <c r="B11" s="205"/>
      <c r="C11" s="203"/>
      <c r="D11" s="203"/>
      <c r="E11" s="203"/>
      <c r="F11" s="203"/>
    </row>
    <row r="12" spans="1:6" ht="15" customHeight="1" x14ac:dyDescent="0.25">
      <c r="A12" s="203"/>
      <c r="B12" s="204" t="s">
        <v>255</v>
      </c>
      <c r="C12" s="203"/>
      <c r="D12" s="203"/>
      <c r="E12" s="203"/>
      <c r="F12" s="203"/>
    </row>
    <row r="13" spans="1:6" ht="15" customHeight="1" x14ac:dyDescent="0.25">
      <c r="A13" s="203"/>
      <c r="B13" s="205"/>
      <c r="C13" s="203"/>
      <c r="D13" s="203"/>
      <c r="E13" s="203"/>
      <c r="F13" s="203"/>
    </row>
    <row r="14" spans="1:6" ht="15" customHeight="1" x14ac:dyDescent="0.25">
      <c r="A14" s="203"/>
      <c r="B14" s="205"/>
      <c r="C14" s="203"/>
      <c r="D14" s="203"/>
      <c r="E14" s="203"/>
      <c r="F14" s="203"/>
    </row>
    <row r="15" spans="1:6" ht="15" customHeight="1" x14ac:dyDescent="0.25">
      <c r="A15" s="203"/>
      <c r="B15" s="204" t="s">
        <v>245</v>
      </c>
      <c r="C15" s="203"/>
      <c r="D15" s="237" t="s">
        <v>254</v>
      </c>
      <c r="E15" s="203"/>
      <c r="F15" s="203"/>
    </row>
    <row r="16" spans="1:6" ht="15" customHeight="1" x14ac:dyDescent="0.25">
      <c r="A16" s="203"/>
      <c r="B16" s="205"/>
      <c r="C16" s="203"/>
      <c r="D16" s="237" t="s">
        <v>253</v>
      </c>
      <c r="E16" s="203"/>
      <c r="F16" s="203"/>
    </row>
    <row r="17" spans="1:6" ht="15" customHeight="1" x14ac:dyDescent="0.25">
      <c r="A17" s="203"/>
      <c r="B17" s="205"/>
      <c r="C17" s="203"/>
      <c r="D17" s="203"/>
      <c r="E17" s="203"/>
      <c r="F17" s="203"/>
    </row>
    <row r="18" spans="1:6" ht="15" customHeight="1" x14ac:dyDescent="0.25">
      <c r="A18" s="203"/>
      <c r="B18" s="204" t="s">
        <v>246</v>
      </c>
      <c r="C18" s="203"/>
      <c r="D18" s="237"/>
      <c r="E18" s="203"/>
      <c r="F18" s="203"/>
    </row>
    <row r="19" spans="1:6" ht="15" customHeight="1" x14ac:dyDescent="0.25">
      <c r="A19" s="203"/>
      <c r="B19" s="205"/>
      <c r="C19" s="203"/>
      <c r="D19" s="203"/>
      <c r="E19" s="203"/>
      <c r="F19" s="203"/>
    </row>
    <row r="20" spans="1:6" ht="15" customHeight="1" x14ac:dyDescent="0.25">
      <c r="A20" s="203"/>
      <c r="B20" s="205"/>
      <c r="C20" s="203"/>
      <c r="D20" s="203"/>
      <c r="E20" s="203"/>
      <c r="F20" s="203"/>
    </row>
    <row r="21" spans="1:6" ht="15" customHeight="1" x14ac:dyDescent="0.25">
      <c r="A21" s="203"/>
      <c r="B21" s="204" t="s">
        <v>249</v>
      </c>
      <c r="C21" s="204" t="s">
        <v>251</v>
      </c>
      <c r="D21" s="203"/>
      <c r="E21" s="203"/>
      <c r="F21" s="203"/>
    </row>
    <row r="22" spans="1:6" ht="15" customHeight="1" x14ac:dyDescent="0.25">
      <c r="A22" s="203"/>
      <c r="B22" s="203"/>
      <c r="C22" s="203"/>
      <c r="D22" s="203"/>
      <c r="E22" s="203"/>
      <c r="F22" s="203"/>
    </row>
    <row r="23" spans="1:6" ht="15" customHeight="1" x14ac:dyDescent="0.25">
      <c r="A23" s="203"/>
      <c r="B23" s="203"/>
      <c r="C23" s="203"/>
      <c r="D23" s="203"/>
      <c r="E23" s="203"/>
      <c r="F23" s="203"/>
    </row>
    <row r="24" spans="1:6" ht="15" customHeight="1" x14ac:dyDescent="0.25">
      <c r="A24" s="203"/>
      <c r="B24" s="203"/>
      <c r="C24" s="203"/>
      <c r="D24" s="204" t="s">
        <v>247</v>
      </c>
      <c r="E24" s="203"/>
      <c r="F24" s="204" t="s">
        <v>250</v>
      </c>
    </row>
    <row r="25" spans="1:6" ht="15" customHeight="1" x14ac:dyDescent="0.25">
      <c r="A25" s="203"/>
      <c r="B25" s="205"/>
      <c r="C25" s="203"/>
      <c r="D25" s="205"/>
      <c r="E25" s="203"/>
      <c r="F25" s="203"/>
    </row>
    <row r="26" spans="1:6" ht="15" customHeight="1" x14ac:dyDescent="0.25">
      <c r="A26" s="203"/>
      <c r="B26" s="205"/>
      <c r="C26" s="203"/>
      <c r="D26" s="205"/>
      <c r="E26" s="203"/>
      <c r="F26" s="203"/>
    </row>
    <row r="27" spans="1:6" ht="15" customHeight="1" x14ac:dyDescent="0.25">
      <c r="A27" s="203"/>
      <c r="B27" s="203"/>
      <c r="C27" s="203"/>
      <c r="D27" s="204" t="s">
        <v>248</v>
      </c>
      <c r="E27" s="203"/>
      <c r="F27" s="203"/>
    </row>
    <row r="28" spans="1:6" ht="15" customHeight="1" x14ac:dyDescent="0.25">
      <c r="A28" s="203"/>
      <c r="B28" s="203"/>
      <c r="C28" s="203"/>
      <c r="D28" s="203"/>
      <c r="E28" s="203"/>
      <c r="F28" s="203"/>
    </row>
    <row r="29" spans="1:6" ht="15" customHeight="1" x14ac:dyDescent="0.25">
      <c r="B29" s="205"/>
      <c r="C29" s="203"/>
      <c r="D29" s="203"/>
      <c r="E29" s="203"/>
    </row>
    <row r="30" spans="1:6" ht="15" customHeight="1" x14ac:dyDescent="0.25">
      <c r="B30" s="203"/>
      <c r="C30" s="203"/>
      <c r="D30" s="203"/>
    </row>
    <row r="31" spans="1:6" ht="15" customHeight="1" x14ac:dyDescent="0.25">
      <c r="B31" s="203"/>
      <c r="C31" s="203"/>
      <c r="D31" s="203"/>
      <c r="E31" s="203"/>
    </row>
  </sheetData>
  <phoneticPr fontId="13" type="noConversion"/>
  <hyperlinks>
    <hyperlink ref="B6" location="'Overview '!A1" display="OVERVIEW"/>
    <hyperlink ref="B9" location="Instructions!A1" display="INSTRUCTIONS"/>
    <hyperlink ref="B12" location="'Log of changes'!A1" display="LOG OF USE"/>
    <hyperlink ref="B18" location="'Influence chart'!A1" display="INFLUENCE CHART"/>
    <hyperlink ref="B21" location="'Historical data'!A1" display="HISTORICAL DATA"/>
    <hyperlink ref="C21" location="Assumptions!A1" display="ASSUMPTIONS"/>
    <hyperlink ref="D27" location="'Short-Term Results'!A1" display="SHORT TERM RESULTS"/>
    <hyperlink ref="F24" location="'Ratio charts'!A1" display="RATIO CHARTS"/>
    <hyperlink ref="D24" location="'3.8 Long-term Model'!A1" display="LONG TERM MODEL"/>
    <hyperlink ref="B15" location="'Guide to Sheets'!A1" display="GUIDE TO SHEETS"/>
  </hyperlinks>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
  <sheetViews>
    <sheetView zoomScale="75" workbookViewId="0"/>
  </sheetViews>
  <sheetFormatPr defaultRowHeight="12.75" x14ac:dyDescent="0.2"/>
  <sheetData>
    <row r="1" spans="1:1" x14ac:dyDescent="0.2">
      <c r="A1" s="1" t="s">
        <v>222</v>
      </c>
    </row>
    <row r="2" spans="1:1" x14ac:dyDescent="0.2">
      <c r="A2" s="1" t="s">
        <v>170</v>
      </c>
    </row>
  </sheetData>
  <phoneticPr fontId="13" type="noConversion"/>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U75"/>
  <sheetViews>
    <sheetView workbookViewId="0"/>
  </sheetViews>
  <sheetFormatPr defaultColWidth="8.85546875" defaultRowHeight="12.75" outlineLevelRow="2" x14ac:dyDescent="0.2"/>
  <cols>
    <col min="1" max="1" width="45" style="22" customWidth="1"/>
    <col min="2" max="4" width="8.85546875" style="57" customWidth="1"/>
    <col min="5" max="5" width="9.7109375" style="58" bestFit="1" customWidth="1"/>
    <col min="6" max="8" width="12.7109375" style="59" customWidth="1"/>
    <col min="9" max="9" width="11.28515625" style="22" customWidth="1"/>
    <col min="10" max="16384" width="8.85546875" style="22"/>
  </cols>
  <sheetData>
    <row r="1" spans="1:10" x14ac:dyDescent="0.2">
      <c r="A1" s="18" t="s">
        <v>222</v>
      </c>
      <c r="B1" s="19"/>
      <c r="C1" s="19"/>
      <c r="D1" s="19"/>
      <c r="E1" s="20"/>
      <c r="F1" s="21"/>
      <c r="G1" s="21"/>
      <c r="H1" s="21"/>
      <c r="I1" s="17"/>
      <c r="J1" s="17"/>
    </row>
    <row r="2" spans="1:10" x14ac:dyDescent="0.2">
      <c r="A2" s="18" t="s">
        <v>170</v>
      </c>
      <c r="B2" s="19"/>
      <c r="C2" s="19"/>
      <c r="D2" s="19"/>
      <c r="E2" s="20"/>
      <c r="F2" s="21"/>
      <c r="G2" s="21"/>
      <c r="H2" s="21"/>
      <c r="I2" s="17"/>
      <c r="J2" s="17"/>
    </row>
    <row r="3" spans="1:10" x14ac:dyDescent="0.2">
      <c r="A3" s="17" t="s">
        <v>104</v>
      </c>
      <c r="B3" s="19"/>
      <c r="C3" s="19" t="s">
        <v>219</v>
      </c>
      <c r="D3" s="19"/>
      <c r="E3" s="20"/>
      <c r="F3" s="21"/>
      <c r="G3" s="21"/>
      <c r="H3" s="21"/>
      <c r="I3" s="17"/>
      <c r="J3" s="17"/>
    </row>
    <row r="4" spans="1:10" x14ac:dyDescent="0.2">
      <c r="A4" s="17"/>
      <c r="B4" s="19"/>
      <c r="C4" s="23" t="s">
        <v>203</v>
      </c>
      <c r="D4" s="19"/>
      <c r="E4" s="20"/>
      <c r="F4" s="21"/>
      <c r="G4" s="21"/>
      <c r="H4" s="21"/>
      <c r="I4" s="17"/>
      <c r="J4" s="17"/>
    </row>
    <row r="5" spans="1:10" x14ac:dyDescent="0.2">
      <c r="A5" s="18" t="s">
        <v>9</v>
      </c>
      <c r="B5" s="19"/>
      <c r="C5" s="19"/>
      <c r="D5" s="19"/>
      <c r="E5" s="20"/>
      <c r="F5" s="24" t="s">
        <v>51</v>
      </c>
      <c r="G5" s="25"/>
      <c r="H5" s="26"/>
      <c r="I5" s="17"/>
      <c r="J5" s="17"/>
    </row>
    <row r="6" spans="1:10" x14ac:dyDescent="0.2">
      <c r="A6" s="17"/>
      <c r="B6" s="19"/>
      <c r="C6" s="19"/>
      <c r="D6" s="199" t="s">
        <v>214</v>
      </c>
      <c r="E6" s="20"/>
      <c r="F6" s="27"/>
      <c r="G6" s="28"/>
      <c r="H6" s="29"/>
      <c r="I6" s="17"/>
      <c r="J6" s="17"/>
    </row>
    <row r="7" spans="1:10" x14ac:dyDescent="0.2">
      <c r="A7" s="18" t="s">
        <v>177</v>
      </c>
      <c r="B7" s="30">
        <v>2003</v>
      </c>
      <c r="C7" s="30">
        <v>2004</v>
      </c>
      <c r="D7" s="30">
        <v>2005</v>
      </c>
      <c r="E7" s="31">
        <v>2006</v>
      </c>
      <c r="F7" s="24" t="s">
        <v>179</v>
      </c>
      <c r="G7" s="32" t="s">
        <v>121</v>
      </c>
      <c r="H7" s="26" t="s">
        <v>121</v>
      </c>
      <c r="I7" s="18" t="s">
        <v>177</v>
      </c>
      <c r="J7" s="17"/>
    </row>
    <row r="8" spans="1:10" ht="13.5" thickBot="1" x14ac:dyDescent="0.25">
      <c r="A8" s="33"/>
      <c r="B8" s="34" t="s">
        <v>178</v>
      </c>
      <c r="C8" s="34" t="s">
        <v>178</v>
      </c>
      <c r="D8" s="34" t="s">
        <v>178</v>
      </c>
      <c r="E8" s="35" t="s">
        <v>27</v>
      </c>
      <c r="F8" s="36" t="s">
        <v>52</v>
      </c>
      <c r="G8" s="37" t="s">
        <v>95</v>
      </c>
      <c r="H8" s="38" t="s">
        <v>122</v>
      </c>
      <c r="I8" s="33"/>
      <c r="J8" s="17"/>
    </row>
    <row r="9" spans="1:10" x14ac:dyDescent="0.2">
      <c r="A9" s="18" t="s">
        <v>187</v>
      </c>
      <c r="B9" s="19"/>
      <c r="C9" s="19"/>
      <c r="D9" s="19"/>
      <c r="E9" s="20"/>
      <c r="F9" s="27"/>
      <c r="G9" s="39"/>
      <c r="H9" s="29"/>
      <c r="I9" s="18" t="s">
        <v>187</v>
      </c>
      <c r="J9" s="17"/>
    </row>
    <row r="10" spans="1:10" outlineLevel="1" x14ac:dyDescent="0.2">
      <c r="A10" s="18" t="s">
        <v>171</v>
      </c>
      <c r="B10" s="19"/>
      <c r="C10" s="19"/>
      <c r="D10" s="19"/>
      <c r="E10" s="20"/>
      <c r="F10" s="27"/>
      <c r="G10" s="39"/>
      <c r="H10" s="29"/>
      <c r="I10" s="18" t="s">
        <v>171</v>
      </c>
      <c r="J10" s="17"/>
    </row>
    <row r="11" spans="1:10" outlineLevel="2" x14ac:dyDescent="0.2">
      <c r="A11" s="18" t="s">
        <v>172</v>
      </c>
      <c r="B11" s="40">
        <v>55000</v>
      </c>
      <c r="C11" s="41">
        <v>61664</v>
      </c>
      <c r="D11" s="41">
        <v>65000</v>
      </c>
      <c r="E11" s="52">
        <v>65000</v>
      </c>
      <c r="F11" s="53">
        <v>0.02</v>
      </c>
      <c r="G11" s="54">
        <v>0.01</v>
      </c>
      <c r="H11" s="55">
        <v>0.03</v>
      </c>
      <c r="I11" s="18" t="s">
        <v>172</v>
      </c>
      <c r="J11" s="17"/>
    </row>
    <row r="12" spans="1:10" outlineLevel="2" x14ac:dyDescent="0.2">
      <c r="A12" s="18" t="s">
        <v>173</v>
      </c>
      <c r="B12" s="40">
        <v>75000</v>
      </c>
      <c r="C12" s="41">
        <v>91024</v>
      </c>
      <c r="D12" s="41">
        <v>131500</v>
      </c>
      <c r="E12" s="52">
        <v>130400</v>
      </c>
      <c r="F12" s="53">
        <v>0.02</v>
      </c>
      <c r="G12" s="54">
        <v>0.01</v>
      </c>
      <c r="H12" s="55">
        <v>2.5000000000000001E-2</v>
      </c>
      <c r="I12" s="18" t="s">
        <v>173</v>
      </c>
      <c r="J12" s="17"/>
    </row>
    <row r="13" spans="1:10" outlineLevel="2" x14ac:dyDescent="0.2">
      <c r="A13" s="18" t="s">
        <v>174</v>
      </c>
      <c r="B13" s="40">
        <v>70000</v>
      </c>
      <c r="C13" s="41">
        <v>24000</v>
      </c>
      <c r="D13" s="41">
        <v>62500</v>
      </c>
      <c r="E13" s="52">
        <v>110000</v>
      </c>
      <c r="F13" s="53">
        <v>0.05</v>
      </c>
      <c r="G13" s="54">
        <v>0.03</v>
      </c>
      <c r="H13" s="55">
        <v>0.06</v>
      </c>
      <c r="I13" s="18" t="s">
        <v>174</v>
      </c>
      <c r="J13" s="17"/>
    </row>
    <row r="14" spans="1:10" outlineLevel="2" x14ac:dyDescent="0.2">
      <c r="A14" s="18" t="s">
        <v>185</v>
      </c>
      <c r="B14" s="40">
        <f>SUM(B11:B13)</f>
        <v>200000</v>
      </c>
      <c r="C14" s="41">
        <f>SUM(C11:C13)</f>
        <v>176688</v>
      </c>
      <c r="D14" s="41">
        <f>SUM(D11:D13)</f>
        <v>259000</v>
      </c>
      <c r="E14" s="42">
        <f>SUM(E11:E13)</f>
        <v>305400</v>
      </c>
      <c r="F14" s="43"/>
      <c r="G14" s="44"/>
      <c r="H14" s="45"/>
      <c r="I14" s="18" t="s">
        <v>185</v>
      </c>
      <c r="J14" s="17"/>
    </row>
    <row r="15" spans="1:10" outlineLevel="1" x14ac:dyDescent="0.2">
      <c r="A15" s="18" t="s">
        <v>191</v>
      </c>
      <c r="B15" s="40">
        <v>15000</v>
      </c>
      <c r="C15" s="41">
        <v>2500</v>
      </c>
      <c r="D15" s="41">
        <v>15500</v>
      </c>
      <c r="E15" s="52">
        <v>25000</v>
      </c>
      <c r="F15" s="53">
        <v>0.05</v>
      </c>
      <c r="G15" s="54">
        <v>0.03</v>
      </c>
      <c r="H15" s="55">
        <v>0.06</v>
      </c>
      <c r="I15" s="18" t="s">
        <v>191</v>
      </c>
      <c r="J15" s="17"/>
    </row>
    <row r="16" spans="1:10" outlineLevel="1" x14ac:dyDescent="0.2">
      <c r="A16" s="18" t="s">
        <v>175</v>
      </c>
      <c r="B16" s="40">
        <v>66000</v>
      </c>
      <c r="C16" s="41">
        <v>63836</v>
      </c>
      <c r="D16" s="41">
        <v>60000</v>
      </c>
      <c r="E16" s="52">
        <v>63000</v>
      </c>
      <c r="F16" s="53">
        <v>0.01</v>
      </c>
      <c r="G16" s="54">
        <v>0</v>
      </c>
      <c r="H16" s="55">
        <v>0.02</v>
      </c>
      <c r="I16" s="18" t="s">
        <v>175</v>
      </c>
      <c r="J16" s="17"/>
    </row>
    <row r="17" spans="1:10" outlineLevel="1" x14ac:dyDescent="0.2">
      <c r="A17" s="18" t="s">
        <v>97</v>
      </c>
      <c r="B17" s="40">
        <v>56000</v>
      </c>
      <c r="C17" s="40">
        <v>53230</v>
      </c>
      <c r="D17" s="40">
        <v>59500</v>
      </c>
      <c r="E17" s="52">
        <v>62000</v>
      </c>
      <c r="F17" s="53">
        <v>7.0000000000000007E-2</v>
      </c>
      <c r="G17" s="54">
        <v>0.05</v>
      </c>
      <c r="H17" s="55">
        <v>0.08</v>
      </c>
      <c r="I17" s="18" t="s">
        <v>97</v>
      </c>
      <c r="J17" s="17"/>
    </row>
    <row r="18" spans="1:10" outlineLevel="1" x14ac:dyDescent="0.2">
      <c r="A18" s="18" t="s">
        <v>96</v>
      </c>
      <c r="B18" s="40">
        <v>64406</v>
      </c>
      <c r="C18" s="40">
        <v>56725</v>
      </c>
      <c r="D18" s="40">
        <v>46126</v>
      </c>
      <c r="E18" s="52">
        <v>61100</v>
      </c>
      <c r="F18" s="53">
        <v>0.03</v>
      </c>
      <c r="G18" s="54">
        <v>0.02</v>
      </c>
      <c r="H18" s="55">
        <v>0.05</v>
      </c>
      <c r="I18" s="18" t="s">
        <v>96</v>
      </c>
      <c r="J18" s="17"/>
    </row>
    <row r="19" spans="1:10" outlineLevel="1" x14ac:dyDescent="0.2">
      <c r="A19" s="18" t="s">
        <v>98</v>
      </c>
      <c r="B19" s="40">
        <v>107625</v>
      </c>
      <c r="C19" s="40">
        <f>SUM(C20:C21)</f>
        <v>97017</v>
      </c>
      <c r="D19" s="40">
        <f>SUM(D20:D21)</f>
        <v>118194</v>
      </c>
      <c r="E19" s="46">
        <f>SUM(E20:E21)</f>
        <v>133000</v>
      </c>
      <c r="F19" s="43"/>
      <c r="G19" s="44"/>
      <c r="H19" s="45"/>
      <c r="I19" s="18" t="s">
        <v>98</v>
      </c>
      <c r="J19" s="17"/>
    </row>
    <row r="20" spans="1:10" outlineLevel="2" x14ac:dyDescent="0.2">
      <c r="A20" s="18" t="s">
        <v>11</v>
      </c>
      <c r="B20" s="40"/>
      <c r="C20" s="40">
        <v>31196</v>
      </c>
      <c r="D20" s="40">
        <v>36000</v>
      </c>
      <c r="E20" s="52">
        <v>52000</v>
      </c>
      <c r="F20" s="53">
        <v>0.03</v>
      </c>
      <c r="G20" s="54">
        <v>0.02</v>
      </c>
      <c r="H20" s="55">
        <v>0.04</v>
      </c>
      <c r="I20" s="18" t="s">
        <v>11</v>
      </c>
      <c r="J20" s="17"/>
    </row>
    <row r="21" spans="1:10" outlineLevel="2" x14ac:dyDescent="0.2">
      <c r="A21" s="18" t="s">
        <v>12</v>
      </c>
      <c r="B21" s="40"/>
      <c r="C21" s="40">
        <v>65821</v>
      </c>
      <c r="D21" s="40">
        <v>82194</v>
      </c>
      <c r="E21" s="52">
        <v>81000</v>
      </c>
      <c r="F21" s="53">
        <v>0.03</v>
      </c>
      <c r="G21" s="54">
        <v>0.02</v>
      </c>
      <c r="H21" s="55">
        <v>0.04</v>
      </c>
      <c r="I21" s="18" t="s">
        <v>12</v>
      </c>
      <c r="J21" s="17"/>
    </row>
    <row r="22" spans="1:10" outlineLevel="1" x14ac:dyDescent="0.2">
      <c r="A22" s="18" t="s">
        <v>176</v>
      </c>
      <c r="B22" s="40">
        <v>65000</v>
      </c>
      <c r="C22" s="40">
        <v>63000</v>
      </c>
      <c r="D22" s="40">
        <v>80000</v>
      </c>
      <c r="E22" s="52">
        <v>85000</v>
      </c>
      <c r="F22" s="53">
        <v>0.01</v>
      </c>
      <c r="G22" s="54">
        <v>0</v>
      </c>
      <c r="H22" s="55">
        <v>0.02</v>
      </c>
      <c r="I22" s="18" t="s">
        <v>176</v>
      </c>
      <c r="J22" s="17"/>
    </row>
    <row r="23" spans="1:10" outlineLevel="1" x14ac:dyDescent="0.2">
      <c r="A23" s="18" t="s">
        <v>194</v>
      </c>
      <c r="B23" s="40">
        <v>49000</v>
      </c>
      <c r="C23" s="41">
        <v>32500</v>
      </c>
      <c r="D23" s="41">
        <v>34000</v>
      </c>
      <c r="E23" s="52">
        <v>38500</v>
      </c>
      <c r="F23" s="53">
        <v>0.05</v>
      </c>
      <c r="G23" s="54">
        <v>0.03</v>
      </c>
      <c r="H23" s="55">
        <v>0.06</v>
      </c>
      <c r="I23" s="18" t="s">
        <v>194</v>
      </c>
      <c r="J23" s="17"/>
    </row>
    <row r="24" spans="1:10" outlineLevel="1" x14ac:dyDescent="0.2">
      <c r="A24" s="18" t="s">
        <v>31</v>
      </c>
      <c r="B24" s="40"/>
      <c r="C24" s="41">
        <v>60000</v>
      </c>
      <c r="D24" s="41">
        <v>55500</v>
      </c>
      <c r="E24" s="52">
        <v>7000</v>
      </c>
      <c r="F24" s="53"/>
      <c r="G24" s="54"/>
      <c r="H24" s="55"/>
      <c r="I24" s="18" t="s">
        <v>31</v>
      </c>
      <c r="J24" s="17"/>
    </row>
    <row r="25" spans="1:10" outlineLevel="1" x14ac:dyDescent="0.2">
      <c r="A25" s="18" t="s">
        <v>193</v>
      </c>
      <c r="B25" s="40">
        <v>146000</v>
      </c>
      <c r="C25" s="41">
        <f>C56</f>
        <v>137156</v>
      </c>
      <c r="D25" s="41">
        <v>75000</v>
      </c>
      <c r="E25" s="20">
        <f>E56</f>
        <v>71106</v>
      </c>
      <c r="F25" s="43" t="s">
        <v>181</v>
      </c>
      <c r="G25" s="44"/>
      <c r="H25" s="45"/>
      <c r="I25" s="18" t="s">
        <v>193</v>
      </c>
      <c r="J25" s="17"/>
    </row>
    <row r="26" spans="1:10" x14ac:dyDescent="0.2">
      <c r="A26" s="18" t="s">
        <v>186</v>
      </c>
      <c r="B26" s="40">
        <f>SUM(B14:B25)</f>
        <v>769031</v>
      </c>
      <c r="C26" s="40">
        <f>SUM(C14:C25)-C19</f>
        <v>742652</v>
      </c>
      <c r="D26" s="40">
        <f>SUM(D14:D25)-D19</f>
        <v>802820</v>
      </c>
      <c r="E26" s="46">
        <f>SUM(E14:E25)-E19</f>
        <v>851106</v>
      </c>
      <c r="F26" s="43"/>
      <c r="G26" s="44"/>
      <c r="H26" s="45"/>
      <c r="I26" s="18" t="s">
        <v>186</v>
      </c>
      <c r="J26" s="17"/>
    </row>
    <row r="27" spans="1:10" x14ac:dyDescent="0.2">
      <c r="A27" s="18"/>
      <c r="B27" s="40"/>
      <c r="C27" s="40"/>
      <c r="D27" s="40"/>
      <c r="E27" s="20"/>
      <c r="F27" s="43"/>
      <c r="G27" s="44"/>
      <c r="H27" s="45"/>
      <c r="I27" s="18"/>
      <c r="J27" s="17"/>
    </row>
    <row r="28" spans="1:10" x14ac:dyDescent="0.2">
      <c r="A28" s="18" t="s">
        <v>188</v>
      </c>
      <c r="B28" s="40"/>
      <c r="C28" s="40"/>
      <c r="D28" s="40"/>
      <c r="E28" s="20"/>
      <c r="F28" s="43"/>
      <c r="G28" s="44"/>
      <c r="H28" s="45"/>
      <c r="I28" s="18" t="s">
        <v>188</v>
      </c>
      <c r="J28" s="17"/>
    </row>
    <row r="29" spans="1:10" outlineLevel="1" x14ac:dyDescent="0.2">
      <c r="A29" s="18" t="s">
        <v>26</v>
      </c>
      <c r="B29" s="40"/>
      <c r="C29" s="40">
        <v>256568</v>
      </c>
      <c r="D29" s="40">
        <v>267299</v>
      </c>
      <c r="E29" s="52">
        <v>284599</v>
      </c>
      <c r="F29" s="53">
        <v>2.75E-2</v>
      </c>
      <c r="G29" s="54">
        <v>2.5000000000000001E-2</v>
      </c>
      <c r="H29" s="55">
        <v>0.03</v>
      </c>
      <c r="I29" s="18" t="s">
        <v>26</v>
      </c>
      <c r="J29" s="17"/>
    </row>
    <row r="30" spans="1:10" outlineLevel="1" x14ac:dyDescent="0.2">
      <c r="A30" s="18" t="s">
        <v>182</v>
      </c>
      <c r="B30" s="40">
        <v>489722</v>
      </c>
      <c r="C30" s="41">
        <v>486084</v>
      </c>
      <c r="D30" s="41">
        <v>525042</v>
      </c>
      <c r="E30" s="52">
        <v>566505</v>
      </c>
      <c r="F30" s="53">
        <v>0.04</v>
      </c>
      <c r="G30" s="54">
        <v>0.03</v>
      </c>
      <c r="H30" s="55">
        <v>0.05</v>
      </c>
      <c r="I30" s="18" t="s">
        <v>182</v>
      </c>
      <c r="J30" s="17"/>
    </row>
    <row r="31" spans="1:10" outlineLevel="2" x14ac:dyDescent="0.2">
      <c r="A31" s="18" t="s">
        <v>14</v>
      </c>
      <c r="B31" s="40"/>
      <c r="C31" s="41"/>
      <c r="D31" s="41"/>
      <c r="E31" s="20"/>
      <c r="F31" s="43"/>
      <c r="G31" s="44"/>
      <c r="H31" s="45"/>
      <c r="I31" s="18" t="s">
        <v>14</v>
      </c>
      <c r="J31" s="17"/>
    </row>
    <row r="32" spans="1:10" outlineLevel="2" x14ac:dyDescent="0.2">
      <c r="A32" s="18" t="s">
        <v>15</v>
      </c>
      <c r="B32" s="40"/>
      <c r="C32" s="41"/>
      <c r="D32" s="41"/>
      <c r="E32" s="20"/>
      <c r="F32" s="43"/>
      <c r="G32" s="44"/>
      <c r="H32" s="45"/>
      <c r="I32" s="18" t="s">
        <v>15</v>
      </c>
      <c r="J32" s="17"/>
    </row>
    <row r="33" spans="1:10" outlineLevel="1" x14ac:dyDescent="0.2">
      <c r="A33" s="18" t="s">
        <v>190</v>
      </c>
      <c r="B33" s="40">
        <v>140160</v>
      </c>
      <c r="C33" s="40">
        <f>SUM(C34:C40)</f>
        <v>444084</v>
      </c>
      <c r="D33" s="40">
        <f>SUM(D34:D40)</f>
        <v>445659</v>
      </c>
      <c r="E33" s="46">
        <f>SUM(E34:E40)</f>
        <v>529699</v>
      </c>
      <c r="F33" s="43"/>
      <c r="G33" s="44"/>
      <c r="H33" s="45"/>
      <c r="I33" s="18" t="s">
        <v>190</v>
      </c>
      <c r="J33" s="17"/>
    </row>
    <row r="34" spans="1:10" outlineLevel="2" x14ac:dyDescent="0.2">
      <c r="A34" s="18" t="s">
        <v>16</v>
      </c>
      <c r="B34" s="40"/>
      <c r="C34" s="40">
        <v>49412</v>
      </c>
      <c r="D34" s="40">
        <v>60323</v>
      </c>
      <c r="E34" s="52">
        <v>60883</v>
      </c>
      <c r="F34" s="53">
        <v>0.03</v>
      </c>
      <c r="G34" s="54">
        <v>3.5000000000000003E-2</v>
      </c>
      <c r="H34" s="55">
        <v>2.5000000000000001E-2</v>
      </c>
      <c r="I34" s="18" t="s">
        <v>16</v>
      </c>
      <c r="J34" s="17"/>
    </row>
    <row r="35" spans="1:10" outlineLevel="2" x14ac:dyDescent="0.2">
      <c r="A35" s="18" t="s">
        <v>17</v>
      </c>
      <c r="B35" s="40"/>
      <c r="C35" s="40">
        <v>70848</v>
      </c>
      <c r="D35" s="40">
        <v>67709</v>
      </c>
      <c r="E35" s="52">
        <v>79200</v>
      </c>
      <c r="F35" s="53">
        <v>0.03</v>
      </c>
      <c r="G35" s="54">
        <v>3.5000000000000003E-2</v>
      </c>
      <c r="H35" s="55">
        <v>2.5000000000000001E-2</v>
      </c>
      <c r="I35" s="18" t="s">
        <v>17</v>
      </c>
      <c r="J35" s="17"/>
    </row>
    <row r="36" spans="1:10" outlineLevel="2" x14ac:dyDescent="0.2">
      <c r="A36" s="18" t="s">
        <v>18</v>
      </c>
      <c r="B36" s="40"/>
      <c r="C36" s="40">
        <v>40424</v>
      </c>
      <c r="D36" s="40">
        <v>45619</v>
      </c>
      <c r="E36" s="52">
        <v>47716</v>
      </c>
      <c r="F36" s="53">
        <v>0.03</v>
      </c>
      <c r="G36" s="54">
        <v>3.5000000000000003E-2</v>
      </c>
      <c r="H36" s="55">
        <v>2.5000000000000001E-2</v>
      </c>
      <c r="I36" s="18" t="s">
        <v>18</v>
      </c>
      <c r="J36" s="17"/>
    </row>
    <row r="37" spans="1:10" outlineLevel="2" x14ac:dyDescent="0.2">
      <c r="A37" s="18" t="s">
        <v>21</v>
      </c>
      <c r="B37" s="40"/>
      <c r="C37" s="40">
        <v>51693</v>
      </c>
      <c r="D37" s="40">
        <v>81789</v>
      </c>
      <c r="E37" s="52">
        <v>91090</v>
      </c>
      <c r="F37" s="53">
        <v>0.03</v>
      </c>
      <c r="G37" s="54">
        <v>3.5000000000000003E-2</v>
      </c>
      <c r="H37" s="55">
        <v>2.5000000000000001E-2</v>
      </c>
      <c r="I37" s="18" t="s">
        <v>21</v>
      </c>
      <c r="J37" s="17"/>
    </row>
    <row r="38" spans="1:10" outlineLevel="2" x14ac:dyDescent="0.2">
      <c r="A38" s="18" t="s">
        <v>23</v>
      </c>
      <c r="B38" s="40"/>
      <c r="C38" s="40">
        <v>69365</v>
      </c>
      <c r="D38" s="40">
        <v>49700</v>
      </c>
      <c r="E38" s="52">
        <v>151266</v>
      </c>
      <c r="F38" s="53">
        <v>0.03</v>
      </c>
      <c r="G38" s="54">
        <v>3.5000000000000003E-2</v>
      </c>
      <c r="H38" s="55">
        <v>2.5000000000000001E-2</v>
      </c>
      <c r="I38" s="18" t="s">
        <v>23</v>
      </c>
      <c r="J38" s="17"/>
    </row>
    <row r="39" spans="1:10" outlineLevel="2" x14ac:dyDescent="0.2">
      <c r="A39" s="18" t="s">
        <v>22</v>
      </c>
      <c r="B39" s="40"/>
      <c r="C39" s="40">
        <v>117316</v>
      </c>
      <c r="D39" s="40">
        <v>93859</v>
      </c>
      <c r="E39" s="52">
        <v>75778</v>
      </c>
      <c r="F39" s="53">
        <v>0.03</v>
      </c>
      <c r="G39" s="54">
        <v>3.5000000000000003E-2</v>
      </c>
      <c r="H39" s="55">
        <v>2.5000000000000001E-2</v>
      </c>
      <c r="I39" s="18" t="s">
        <v>22</v>
      </c>
      <c r="J39" s="17"/>
    </row>
    <row r="40" spans="1:10" outlineLevel="2" x14ac:dyDescent="0.2">
      <c r="A40" s="18" t="s">
        <v>220</v>
      </c>
      <c r="B40" s="40"/>
      <c r="C40" s="40">
        <v>45026</v>
      </c>
      <c r="D40" s="40">
        <v>46660</v>
      </c>
      <c r="E40" s="52">
        <v>23766</v>
      </c>
      <c r="F40" s="53">
        <v>0.03</v>
      </c>
      <c r="G40" s="54">
        <v>3.5000000000000003E-2</v>
      </c>
      <c r="H40" s="55">
        <v>2.5000000000000001E-2</v>
      </c>
      <c r="I40" s="18" t="s">
        <v>24</v>
      </c>
      <c r="J40" s="17"/>
    </row>
    <row r="41" spans="1:10" outlineLevel="1" x14ac:dyDescent="0.2">
      <c r="A41" s="18" t="s">
        <v>99</v>
      </c>
      <c r="B41" s="40">
        <v>68700</v>
      </c>
      <c r="C41" s="41">
        <v>88687</v>
      </c>
      <c r="D41" s="41">
        <v>103087</v>
      </c>
      <c r="E41" s="52">
        <v>116074</v>
      </c>
      <c r="F41" s="53">
        <v>0.02</v>
      </c>
      <c r="G41" s="54">
        <v>2.5000000000000001E-2</v>
      </c>
      <c r="H41" s="55">
        <v>1.7500000000000002E-2</v>
      </c>
      <c r="I41" s="18" t="s">
        <v>99</v>
      </c>
      <c r="J41" s="17"/>
    </row>
    <row r="42" spans="1:10" outlineLevel="1" x14ac:dyDescent="0.2">
      <c r="A42" s="18" t="s">
        <v>183</v>
      </c>
      <c r="B42" s="40">
        <v>56967</v>
      </c>
      <c r="C42" s="40">
        <v>131739</v>
      </c>
      <c r="D42" s="40">
        <v>118631</v>
      </c>
      <c r="E42" s="52">
        <v>91592</v>
      </c>
      <c r="F42" s="53">
        <v>0.02</v>
      </c>
      <c r="G42" s="54">
        <v>2.5000000000000001E-2</v>
      </c>
      <c r="H42" s="55">
        <v>1.7500000000000002E-2</v>
      </c>
      <c r="I42" s="18" t="s">
        <v>183</v>
      </c>
      <c r="J42" s="17"/>
    </row>
    <row r="43" spans="1:10" outlineLevel="1" x14ac:dyDescent="0.2">
      <c r="A43" s="18" t="s">
        <v>184</v>
      </c>
      <c r="B43" s="40">
        <v>34300</v>
      </c>
      <c r="C43" s="40">
        <v>78142</v>
      </c>
      <c r="D43" s="40">
        <v>91909</v>
      </c>
      <c r="E43" s="52">
        <v>113741</v>
      </c>
      <c r="F43" s="53">
        <v>0.08</v>
      </c>
      <c r="G43" s="54">
        <v>0.1</v>
      </c>
      <c r="H43" s="55">
        <v>0.06</v>
      </c>
      <c r="I43" s="18" t="s">
        <v>184</v>
      </c>
      <c r="J43" s="17"/>
    </row>
    <row r="44" spans="1:10" x14ac:dyDescent="0.2">
      <c r="A44" s="18" t="s">
        <v>189</v>
      </c>
      <c r="B44" s="40">
        <f>SUM(B30:B43)</f>
        <v>789849</v>
      </c>
      <c r="C44" s="40">
        <f>SUM(C34:C43)</f>
        <v>742652</v>
      </c>
      <c r="D44" s="40">
        <f>SUM(D34:D43)</f>
        <v>759286</v>
      </c>
      <c r="E44" s="20">
        <f>SUM(E34:E43)</f>
        <v>851106</v>
      </c>
      <c r="F44" s="43"/>
      <c r="G44" s="44"/>
      <c r="H44" s="45"/>
      <c r="I44" s="18" t="s">
        <v>189</v>
      </c>
      <c r="J44" s="17"/>
    </row>
    <row r="45" spans="1:10" x14ac:dyDescent="0.2">
      <c r="A45" s="18" t="s">
        <v>29</v>
      </c>
      <c r="B45" s="40"/>
      <c r="C45" s="41">
        <v>11194</v>
      </c>
      <c r="D45" s="41"/>
      <c r="E45" s="52">
        <v>72100</v>
      </c>
      <c r="F45" s="53"/>
      <c r="G45" s="54"/>
      <c r="H45" s="55"/>
      <c r="I45" s="18" t="s">
        <v>29</v>
      </c>
      <c r="J45" s="17"/>
    </row>
    <row r="46" spans="1:10" x14ac:dyDescent="0.2">
      <c r="A46" s="18" t="s">
        <v>30</v>
      </c>
      <c r="B46" s="40"/>
      <c r="C46" s="40">
        <v>46581</v>
      </c>
      <c r="D46" s="40"/>
      <c r="E46" s="52"/>
      <c r="F46" s="53"/>
      <c r="G46" s="54"/>
      <c r="H46" s="55"/>
      <c r="I46" s="18" t="s">
        <v>30</v>
      </c>
      <c r="J46" s="17"/>
    </row>
    <row r="47" spans="1:10" x14ac:dyDescent="0.2">
      <c r="A47" s="18"/>
      <c r="B47" s="40"/>
      <c r="C47" s="40"/>
      <c r="D47" s="40"/>
      <c r="E47" s="20"/>
      <c r="F47" s="43"/>
      <c r="G47" s="44"/>
      <c r="H47" s="45"/>
      <c r="I47" s="18"/>
      <c r="J47" s="17"/>
    </row>
    <row r="48" spans="1:10" x14ac:dyDescent="0.2">
      <c r="A48" s="18" t="s">
        <v>195</v>
      </c>
      <c r="B48" s="40">
        <f>B26-B44</f>
        <v>-20818</v>
      </c>
      <c r="C48" s="40">
        <f>C26-C44</f>
        <v>0</v>
      </c>
      <c r="D48" s="40"/>
      <c r="E48" s="51">
        <f>E26-E44</f>
        <v>0</v>
      </c>
      <c r="F48" s="43"/>
      <c r="G48" s="44"/>
      <c r="H48" s="45"/>
      <c r="I48" s="18" t="s">
        <v>195</v>
      </c>
      <c r="J48" s="17"/>
    </row>
    <row r="49" spans="1:21" x14ac:dyDescent="0.2">
      <c r="A49" s="18"/>
      <c r="B49" s="40"/>
      <c r="C49" s="40"/>
      <c r="D49" s="40"/>
      <c r="E49" s="20"/>
      <c r="F49" s="43" t="s">
        <v>181</v>
      </c>
      <c r="G49" s="44"/>
      <c r="H49" s="45"/>
      <c r="I49" s="18"/>
      <c r="J49" s="17"/>
    </row>
    <row r="50" spans="1:21" x14ac:dyDescent="0.2">
      <c r="A50" s="18" t="s">
        <v>200</v>
      </c>
      <c r="B50" s="40"/>
      <c r="C50" s="40">
        <f>SUM(C29:C30)-C44</f>
        <v>0</v>
      </c>
      <c r="D50" s="40"/>
      <c r="E50" s="51">
        <f>SUM(E29:E30)-E44</f>
        <v>-2</v>
      </c>
      <c r="F50" s="43"/>
      <c r="G50" s="44"/>
      <c r="H50" s="45"/>
      <c r="I50" s="18"/>
      <c r="J50" s="17"/>
    </row>
    <row r="51" spans="1:21" x14ac:dyDescent="0.2">
      <c r="A51" s="18"/>
      <c r="B51" s="40"/>
      <c r="C51" s="40"/>
      <c r="D51" s="40"/>
      <c r="E51" s="20"/>
      <c r="F51" s="43"/>
      <c r="G51" s="44"/>
      <c r="H51" s="45"/>
      <c r="I51" s="18"/>
      <c r="J51" s="17"/>
    </row>
    <row r="52" spans="1:21" x14ac:dyDescent="0.2">
      <c r="A52" s="18" t="s">
        <v>196</v>
      </c>
      <c r="B52" s="40"/>
      <c r="C52" s="41"/>
      <c r="D52" s="41"/>
      <c r="E52" s="20"/>
      <c r="F52" s="43">
        <v>2007</v>
      </c>
      <c r="G52" s="44">
        <v>2008</v>
      </c>
      <c r="H52" s="43">
        <v>2009</v>
      </c>
      <c r="I52" s="44">
        <v>2010</v>
      </c>
      <c r="J52" s="43">
        <v>2011</v>
      </c>
    </row>
    <row r="53" spans="1:21" x14ac:dyDescent="0.2">
      <c r="A53" s="18" t="s">
        <v>6</v>
      </c>
      <c r="B53" s="40"/>
      <c r="C53" s="41">
        <f>B58</f>
        <v>1654000</v>
      </c>
      <c r="D53" s="41">
        <f>C58</f>
        <v>1684667</v>
      </c>
      <c r="E53" s="20">
        <f>D58</f>
        <v>1823127.6900000002</v>
      </c>
      <c r="F53" s="43"/>
      <c r="G53" s="44"/>
      <c r="H53" s="45"/>
      <c r="I53" s="17"/>
      <c r="J53" s="17"/>
      <c r="U53" s="18" t="s">
        <v>196</v>
      </c>
    </row>
    <row r="54" spans="1:21" outlineLevel="1" x14ac:dyDescent="0.2">
      <c r="A54" s="18" t="s">
        <v>252</v>
      </c>
      <c r="B54" s="40"/>
      <c r="C54" s="41">
        <v>52043</v>
      </c>
      <c r="D54" s="41">
        <v>52000</v>
      </c>
      <c r="E54" s="206">
        <v>80000</v>
      </c>
      <c r="F54" s="207">
        <v>253600</v>
      </c>
      <c r="G54" s="207">
        <v>356160</v>
      </c>
      <c r="H54" s="207">
        <v>263696</v>
      </c>
      <c r="I54" s="207">
        <v>12217.6</v>
      </c>
      <c r="J54" s="207">
        <v>97330.559999999998</v>
      </c>
      <c r="U54" s="18" t="s">
        <v>197</v>
      </c>
    </row>
    <row r="55" spans="1:21" outlineLevel="1" x14ac:dyDescent="0.2">
      <c r="A55" s="18" t="s">
        <v>20</v>
      </c>
      <c r="B55" s="40"/>
      <c r="C55" s="41">
        <f>C53*$F$62</f>
        <v>132320</v>
      </c>
      <c r="D55" s="41">
        <f>D53*$F$62</f>
        <v>134773.36000000002</v>
      </c>
      <c r="E55" s="41">
        <f>E53*$F$62</f>
        <v>145850.21520000001</v>
      </c>
      <c r="F55" s="21"/>
      <c r="G55" s="21"/>
      <c r="H55" s="21"/>
      <c r="I55" s="17"/>
      <c r="J55" s="17"/>
      <c r="U55" s="18" t="s">
        <v>103</v>
      </c>
    </row>
    <row r="56" spans="1:21" outlineLevel="1" x14ac:dyDescent="0.2">
      <c r="A56" s="18" t="s">
        <v>198</v>
      </c>
      <c r="B56" s="40"/>
      <c r="C56" s="41">
        <f>C44-(SUM(C14:C24)-C19)</f>
        <v>137156</v>
      </c>
      <c r="D56" s="41">
        <f>D44-(SUM(D14:D24)-D19)</f>
        <v>31466</v>
      </c>
      <c r="E56" s="41">
        <f>E44-(SUM(E14:E24)-E19)</f>
        <v>71106</v>
      </c>
      <c r="F56" s="47"/>
      <c r="G56" s="47"/>
      <c r="H56" s="47"/>
      <c r="I56" s="17"/>
      <c r="J56" s="17"/>
      <c r="U56" s="18" t="s">
        <v>20</v>
      </c>
    </row>
    <row r="57" spans="1:21" ht="12" customHeight="1" outlineLevel="1" x14ac:dyDescent="0.2">
      <c r="A57" s="18" t="s">
        <v>102</v>
      </c>
      <c r="B57" s="40"/>
      <c r="C57" s="41">
        <f>C53*$E$63</f>
        <v>16540</v>
      </c>
      <c r="D57" s="41">
        <f>D53*$E$63</f>
        <v>16846.670000000002</v>
      </c>
      <c r="E57" s="42">
        <f>E53*$E$63</f>
        <v>18231.276900000001</v>
      </c>
      <c r="F57" s="47"/>
      <c r="G57" s="47"/>
      <c r="H57" s="47"/>
      <c r="I57" s="17"/>
      <c r="J57" s="17"/>
      <c r="U57" s="18" t="s">
        <v>101</v>
      </c>
    </row>
    <row r="58" spans="1:21" x14ac:dyDescent="0.2">
      <c r="A58" s="18" t="s">
        <v>7</v>
      </c>
      <c r="B58" s="40">
        <v>1654000</v>
      </c>
      <c r="C58" s="41">
        <f>SUM(C53:C55)-SUM(C56:C57)</f>
        <v>1684667</v>
      </c>
      <c r="D58" s="41">
        <f>SUM(D53:D55)-SUM(D56:D57)</f>
        <v>1823127.6900000002</v>
      </c>
      <c r="E58" s="42">
        <f>SUM(E53:E55)-SUM(E56:E57)</f>
        <v>1959640.6283000002</v>
      </c>
      <c r="F58" s="47"/>
      <c r="G58" s="47"/>
      <c r="H58" s="47"/>
      <c r="I58" s="17"/>
      <c r="J58" s="17"/>
      <c r="U58" s="18" t="s">
        <v>102</v>
      </c>
    </row>
    <row r="59" spans="1:21" x14ac:dyDescent="0.2">
      <c r="A59" s="18"/>
      <c r="B59" s="40"/>
      <c r="C59" s="41"/>
      <c r="D59" s="41"/>
      <c r="E59" s="42"/>
      <c r="F59" s="47"/>
      <c r="G59" s="47"/>
      <c r="H59" s="47"/>
      <c r="I59" s="18"/>
      <c r="J59" s="17"/>
      <c r="U59" s="18" t="s">
        <v>199</v>
      </c>
    </row>
    <row r="60" spans="1:21" x14ac:dyDescent="0.2">
      <c r="A60" s="48" t="s">
        <v>211</v>
      </c>
      <c r="B60" s="40"/>
      <c r="C60" s="41"/>
      <c r="D60" s="41"/>
      <c r="E60" s="42"/>
      <c r="F60" s="47"/>
      <c r="G60" s="47"/>
      <c r="H60" s="47"/>
      <c r="I60" s="18"/>
      <c r="J60" s="17"/>
    </row>
    <row r="61" spans="1:21" x14ac:dyDescent="0.2">
      <c r="A61" s="17"/>
      <c r="B61" s="19"/>
      <c r="C61" s="41"/>
      <c r="D61" s="50" t="s">
        <v>120</v>
      </c>
      <c r="E61" s="56">
        <v>0.04</v>
      </c>
      <c r="F61" s="47"/>
      <c r="G61" s="47"/>
      <c r="H61" s="47"/>
      <c r="I61" s="18"/>
      <c r="J61" s="17"/>
    </row>
    <row r="62" spans="1:21" x14ac:dyDescent="0.2">
      <c r="A62" s="17"/>
      <c r="B62" s="19"/>
      <c r="C62" s="41"/>
      <c r="D62" s="50" t="s">
        <v>4</v>
      </c>
      <c r="E62" s="56"/>
      <c r="F62" s="202">
        <v>0.08</v>
      </c>
      <c r="G62" s="54">
        <v>0.05</v>
      </c>
      <c r="H62" s="55">
        <v>0.1</v>
      </c>
      <c r="I62" s="18"/>
      <c r="J62" s="17"/>
    </row>
    <row r="63" spans="1:21" x14ac:dyDescent="0.2">
      <c r="A63" s="17"/>
      <c r="B63" s="19"/>
      <c r="C63" s="19"/>
      <c r="D63" s="50" t="s">
        <v>5</v>
      </c>
      <c r="E63" s="56">
        <v>0.01</v>
      </c>
      <c r="F63" s="21"/>
      <c r="G63" s="47"/>
      <c r="H63" s="47"/>
      <c r="I63" s="17"/>
      <c r="J63" s="17"/>
    </row>
    <row r="64" spans="1:21" x14ac:dyDescent="0.2">
      <c r="A64" s="17"/>
      <c r="B64" s="19"/>
      <c r="C64" s="19"/>
      <c r="D64" s="50" t="s">
        <v>76</v>
      </c>
      <c r="E64" s="56"/>
      <c r="F64" s="21"/>
      <c r="G64" s="47"/>
      <c r="H64" s="47"/>
      <c r="I64" s="17"/>
      <c r="J64" s="17"/>
    </row>
    <row r="65" spans="1:10" x14ac:dyDescent="0.2">
      <c r="A65" s="17"/>
      <c r="B65" s="19"/>
      <c r="C65" s="19"/>
      <c r="D65" s="50" t="s">
        <v>75</v>
      </c>
      <c r="E65" s="56"/>
      <c r="F65" s="21"/>
      <c r="G65" s="47"/>
      <c r="H65" s="47"/>
      <c r="I65" s="17"/>
      <c r="J65" s="17"/>
    </row>
    <row r="66" spans="1:10" x14ac:dyDescent="0.2">
      <c r="A66" s="17"/>
      <c r="B66" s="19"/>
      <c r="C66" s="19"/>
      <c r="D66" s="50" t="s">
        <v>71</v>
      </c>
      <c r="E66" s="56"/>
      <c r="F66" s="21"/>
      <c r="G66" s="47"/>
      <c r="H66" s="47"/>
      <c r="I66" s="17"/>
      <c r="J66" s="17"/>
    </row>
    <row r="67" spans="1:10" x14ac:dyDescent="0.2">
      <c r="A67" s="17"/>
      <c r="B67" s="19"/>
      <c r="C67" s="19"/>
      <c r="D67" s="50" t="s">
        <v>74</v>
      </c>
      <c r="E67" s="56"/>
      <c r="F67" s="21"/>
      <c r="G67" s="47"/>
      <c r="H67" s="47"/>
      <c r="I67" s="17"/>
      <c r="J67" s="17"/>
    </row>
    <row r="68" spans="1:10" x14ac:dyDescent="0.2">
      <c r="A68" s="17"/>
      <c r="B68" s="19"/>
      <c r="C68" s="19"/>
      <c r="D68" s="50" t="s">
        <v>72</v>
      </c>
      <c r="E68" s="56"/>
      <c r="F68" s="21"/>
      <c r="G68" s="47"/>
      <c r="H68" s="47"/>
      <c r="I68" s="17"/>
      <c r="J68" s="17"/>
    </row>
    <row r="69" spans="1:10" x14ac:dyDescent="0.2">
      <c r="A69" s="17"/>
      <c r="B69" s="19"/>
      <c r="C69" s="19"/>
      <c r="D69" s="50" t="s">
        <v>73</v>
      </c>
      <c r="E69" s="56"/>
      <c r="F69" s="21"/>
      <c r="G69" s="47"/>
      <c r="H69" s="47"/>
      <c r="I69" s="17"/>
      <c r="J69" s="17"/>
    </row>
    <row r="70" spans="1:10" x14ac:dyDescent="0.2">
      <c r="A70" s="17"/>
      <c r="B70" s="50"/>
      <c r="C70" s="184"/>
      <c r="D70" s="50" t="s">
        <v>39</v>
      </c>
      <c r="E70" s="56">
        <v>0.4</v>
      </c>
      <c r="F70" s="21"/>
      <c r="G70" s="47"/>
      <c r="H70" s="47"/>
      <c r="I70" s="17"/>
      <c r="J70" s="17"/>
    </row>
    <row r="71" spans="1:10" x14ac:dyDescent="0.2">
      <c r="A71" s="18"/>
      <c r="B71" s="19"/>
      <c r="C71" s="19"/>
      <c r="D71" s="19"/>
      <c r="E71" s="49"/>
      <c r="F71" s="21"/>
      <c r="G71" s="47"/>
      <c r="H71" s="47"/>
      <c r="I71" s="17"/>
      <c r="J71" s="17"/>
    </row>
    <row r="72" spans="1:10" x14ac:dyDescent="0.2">
      <c r="A72" s="18" t="s">
        <v>54</v>
      </c>
      <c r="B72" s="19"/>
      <c r="C72" s="19"/>
      <c r="D72" s="19"/>
      <c r="E72" s="20"/>
      <c r="F72" s="21"/>
      <c r="G72" s="47"/>
      <c r="H72" s="47"/>
      <c r="I72" s="18"/>
      <c r="J72" s="17"/>
    </row>
    <row r="73" spans="1:10" x14ac:dyDescent="0.2">
      <c r="A73" s="21"/>
      <c r="B73" s="19" t="s">
        <v>53</v>
      </c>
      <c r="C73" s="19"/>
      <c r="D73" s="19"/>
      <c r="E73" s="20"/>
      <c r="F73" s="21"/>
      <c r="G73" s="47"/>
      <c r="H73" s="47"/>
      <c r="I73" s="21"/>
      <c r="J73" s="17"/>
    </row>
    <row r="74" spans="1:10" x14ac:dyDescent="0.2">
      <c r="A74" s="17"/>
      <c r="B74" s="19"/>
      <c r="C74" s="19"/>
      <c r="D74" s="19"/>
      <c r="E74" s="20"/>
      <c r="F74" s="21"/>
      <c r="G74" s="21"/>
      <c r="H74" s="21"/>
      <c r="I74" s="17"/>
      <c r="J74" s="17"/>
    </row>
    <row r="75" spans="1:10" x14ac:dyDescent="0.2">
      <c r="A75" s="17"/>
      <c r="B75" s="19"/>
      <c r="C75" s="19"/>
      <c r="D75" s="19"/>
      <c r="E75" s="20"/>
      <c r="F75" s="21"/>
      <c r="G75" s="21"/>
      <c r="H75" s="21"/>
      <c r="I75" s="17"/>
      <c r="J75" s="17"/>
    </row>
  </sheetData>
  <phoneticPr fontId="0" type="noConversion"/>
  <printOptions horizontalCentered="1" verticalCentered="1" gridLines="1"/>
  <pageMargins left="0.5" right="0.5" top="0.5" bottom="0.75" header="0.5" footer="0.5"/>
  <pageSetup paperSize="5" scale="54" orientation="landscape" r:id="rId1"/>
  <headerFooter alignWithMargins="0">
    <oddHeader>&amp;F</oddHeader>
    <oddFooter>Page &amp;P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Q71"/>
  <sheetViews>
    <sheetView workbookViewId="0"/>
  </sheetViews>
  <sheetFormatPr defaultColWidth="8.85546875" defaultRowHeight="12.75" outlineLevelRow="2" x14ac:dyDescent="0.2"/>
  <cols>
    <col min="1" max="1" width="45.7109375" style="211" customWidth="1"/>
    <col min="2" max="2" width="10.28515625" style="213" customWidth="1"/>
    <col min="3" max="4" width="9.7109375" style="213" customWidth="1"/>
    <col min="5" max="5" width="9.7109375" style="214" customWidth="1"/>
    <col min="6" max="6" width="11.42578125" style="214" customWidth="1"/>
    <col min="7" max="7" width="9.7109375" style="214" customWidth="1"/>
    <col min="8" max="16" width="13.140625" style="214" customWidth="1"/>
    <col min="17" max="16384" width="8.85546875" style="166"/>
  </cols>
  <sheetData>
    <row r="1" spans="1:17" x14ac:dyDescent="0.2">
      <c r="A1" s="211" t="s">
        <v>222</v>
      </c>
      <c r="B1" s="212"/>
    </row>
    <row r="2" spans="1:17" x14ac:dyDescent="0.2">
      <c r="A2" s="211" t="s">
        <v>170</v>
      </c>
    </row>
    <row r="3" spans="1:17" x14ac:dyDescent="0.2">
      <c r="A3" s="211" t="s">
        <v>169</v>
      </c>
      <c r="F3" s="214" t="s">
        <v>203</v>
      </c>
    </row>
    <row r="4" spans="1:17" x14ac:dyDescent="0.2">
      <c r="A4" s="215">
        <v>37972</v>
      </c>
      <c r="B4" s="216" t="s">
        <v>100</v>
      </c>
      <c r="C4" s="216"/>
      <c r="D4" s="216"/>
      <c r="E4" s="217"/>
      <c r="F4" s="216" t="s">
        <v>221</v>
      </c>
      <c r="G4" s="217"/>
      <c r="H4" s="217"/>
      <c r="I4" s="217"/>
      <c r="J4" s="217"/>
      <c r="K4" s="217"/>
    </row>
    <row r="5" spans="1:17" x14ac:dyDescent="0.2">
      <c r="B5" s="211" t="s">
        <v>138</v>
      </c>
    </row>
    <row r="6" spans="1:17" x14ac:dyDescent="0.2">
      <c r="D6" s="218" t="s">
        <v>214</v>
      </c>
      <c r="H6" s="219" t="s">
        <v>55</v>
      </c>
    </row>
    <row r="7" spans="1:17" s="211" customFormat="1" x14ac:dyDescent="0.2">
      <c r="A7" s="211" t="s">
        <v>177</v>
      </c>
      <c r="B7" s="220">
        <v>2003</v>
      </c>
      <c r="C7" s="220">
        <v>2004</v>
      </c>
      <c r="D7" s="220">
        <v>2005</v>
      </c>
      <c r="E7" s="219">
        <v>2006</v>
      </c>
      <c r="F7" s="219" t="s">
        <v>179</v>
      </c>
      <c r="G7" s="221"/>
      <c r="H7" s="221"/>
      <c r="I7" s="221"/>
      <c r="J7" s="222"/>
      <c r="K7" s="221"/>
      <c r="L7" s="221"/>
      <c r="M7" s="221"/>
      <c r="N7" s="221"/>
      <c r="O7" s="221"/>
      <c r="P7" s="221"/>
    </row>
    <row r="8" spans="1:17" s="211" customFormat="1" x14ac:dyDescent="0.2">
      <c r="B8" s="220" t="s">
        <v>178</v>
      </c>
      <c r="C8" s="220" t="s">
        <v>178</v>
      </c>
      <c r="D8" s="220" t="s">
        <v>178</v>
      </c>
      <c r="E8" s="219" t="s">
        <v>192</v>
      </c>
      <c r="F8" s="219" t="s">
        <v>180</v>
      </c>
      <c r="G8" s="219">
        <f>E7+1</f>
        <v>2007</v>
      </c>
      <c r="H8" s="219">
        <f>G8+1</f>
        <v>2008</v>
      </c>
      <c r="I8" s="219">
        <f t="shared" ref="I8:P8" si="0">H8+1</f>
        <v>2009</v>
      </c>
      <c r="J8" s="223">
        <f t="shared" si="0"/>
        <v>2010</v>
      </c>
      <c r="K8" s="219">
        <f t="shared" si="0"/>
        <v>2011</v>
      </c>
      <c r="L8" s="219">
        <f t="shared" si="0"/>
        <v>2012</v>
      </c>
      <c r="M8" s="219">
        <f t="shared" si="0"/>
        <v>2013</v>
      </c>
      <c r="N8" s="219">
        <f t="shared" si="0"/>
        <v>2014</v>
      </c>
      <c r="O8" s="219">
        <f t="shared" si="0"/>
        <v>2015</v>
      </c>
      <c r="P8" s="219">
        <f t="shared" si="0"/>
        <v>2016</v>
      </c>
      <c r="Q8" s="211" t="s">
        <v>181</v>
      </c>
    </row>
    <row r="9" spans="1:17" x14ac:dyDescent="0.2">
      <c r="A9" s="211" t="s">
        <v>187</v>
      </c>
      <c r="J9" s="224"/>
    </row>
    <row r="10" spans="1:17" hidden="1" outlineLevel="1" x14ac:dyDescent="0.2">
      <c r="A10" s="211" t="s">
        <v>171</v>
      </c>
      <c r="G10" s="225"/>
      <c r="H10" s="226"/>
      <c r="I10" s="226"/>
      <c r="J10" s="227"/>
      <c r="K10" s="226"/>
      <c r="L10" s="226"/>
      <c r="M10" s="226"/>
      <c r="N10" s="226"/>
      <c r="O10" s="226"/>
      <c r="P10" s="228"/>
    </row>
    <row r="11" spans="1:17" s="214" customFormat="1" hidden="1" outlineLevel="2" x14ac:dyDescent="0.2">
      <c r="A11" s="221" t="s">
        <v>172</v>
      </c>
      <c r="B11" s="229">
        <v>55000</v>
      </c>
      <c r="C11" s="230">
        <f>Assumptions!C11</f>
        <v>61664</v>
      </c>
      <c r="D11" s="230">
        <v>65000</v>
      </c>
      <c r="E11" s="130">
        <f>Assumptions!E11</f>
        <v>65000</v>
      </c>
      <c r="F11" s="219">
        <f>Assumptions!F11</f>
        <v>0.02</v>
      </c>
      <c r="G11" s="162">
        <f>$E11*(1+$F11)</f>
        <v>66300</v>
      </c>
      <c r="H11" s="130">
        <f>G11*(1+$F11)</f>
        <v>67626</v>
      </c>
      <c r="I11" s="130">
        <f t="shared" ref="I11:P13" si="1">H11*(1+$F11)</f>
        <v>68978.52</v>
      </c>
      <c r="J11" s="163">
        <f t="shared" si="1"/>
        <v>70358.090400000001</v>
      </c>
      <c r="K11" s="130">
        <f t="shared" si="1"/>
        <v>71765.252208000005</v>
      </c>
      <c r="L11" s="130">
        <f t="shared" si="1"/>
        <v>73200.557252160012</v>
      </c>
      <c r="M11" s="130">
        <f t="shared" si="1"/>
        <v>74664.568397203213</v>
      </c>
      <c r="N11" s="130">
        <f t="shared" si="1"/>
        <v>76157.859765147281</v>
      </c>
      <c r="O11" s="130">
        <f t="shared" si="1"/>
        <v>77681.01696045023</v>
      </c>
      <c r="P11" s="164">
        <f t="shared" si="1"/>
        <v>79234.63729965924</v>
      </c>
    </row>
    <row r="12" spans="1:17" s="214" customFormat="1" hidden="1" outlineLevel="2" x14ac:dyDescent="0.2">
      <c r="A12" s="221" t="s">
        <v>173</v>
      </c>
      <c r="B12" s="229">
        <v>75000</v>
      </c>
      <c r="C12" s="230">
        <f>Assumptions!C12</f>
        <v>91024</v>
      </c>
      <c r="D12" s="230">
        <v>131500</v>
      </c>
      <c r="E12" s="130">
        <f>Assumptions!E12</f>
        <v>130400</v>
      </c>
      <c r="F12" s="219">
        <f>Assumptions!F12</f>
        <v>0.02</v>
      </c>
      <c r="G12" s="162">
        <f>$E12*(1+$F12)</f>
        <v>133008</v>
      </c>
      <c r="H12" s="130">
        <f>G12*(1+$F12)</f>
        <v>135668.16</v>
      </c>
      <c r="I12" s="130">
        <f t="shared" si="1"/>
        <v>138381.5232</v>
      </c>
      <c r="J12" s="163">
        <f t="shared" si="1"/>
        <v>141149.15366400001</v>
      </c>
      <c r="K12" s="130">
        <f t="shared" si="1"/>
        <v>143972.13673728</v>
      </c>
      <c r="L12" s="130">
        <f t="shared" si="1"/>
        <v>146851.57947202559</v>
      </c>
      <c r="M12" s="130">
        <f t="shared" si="1"/>
        <v>149788.6110614661</v>
      </c>
      <c r="N12" s="130">
        <f t="shared" si="1"/>
        <v>152784.38328269543</v>
      </c>
      <c r="O12" s="130">
        <f t="shared" si="1"/>
        <v>155840.07094834934</v>
      </c>
      <c r="P12" s="164">
        <f t="shared" si="1"/>
        <v>158956.87236731633</v>
      </c>
    </row>
    <row r="13" spans="1:17" s="214" customFormat="1" hidden="1" outlineLevel="2" x14ac:dyDescent="0.2">
      <c r="A13" s="221" t="s">
        <v>174</v>
      </c>
      <c r="B13" s="229">
        <v>70000</v>
      </c>
      <c r="C13" s="230">
        <f>Assumptions!C13</f>
        <v>24000</v>
      </c>
      <c r="D13" s="230">
        <v>62500</v>
      </c>
      <c r="E13" s="130">
        <f>Assumptions!E13</f>
        <v>110000</v>
      </c>
      <c r="F13" s="219">
        <f>Assumptions!F13</f>
        <v>0.05</v>
      </c>
      <c r="G13" s="162">
        <f>$E13*(1+$F13)</f>
        <v>115500</v>
      </c>
      <c r="H13" s="130">
        <f>G13*(1+$F13)</f>
        <v>121275</v>
      </c>
      <c r="I13" s="130">
        <f t="shared" si="1"/>
        <v>127338.75</v>
      </c>
      <c r="J13" s="163">
        <f t="shared" si="1"/>
        <v>133705.6875</v>
      </c>
      <c r="K13" s="130">
        <f t="shared" si="1"/>
        <v>140390.97187500002</v>
      </c>
      <c r="L13" s="130">
        <f t="shared" si="1"/>
        <v>147410.52046875004</v>
      </c>
      <c r="M13" s="130">
        <f t="shared" si="1"/>
        <v>154781.04649218754</v>
      </c>
      <c r="N13" s="130">
        <f t="shared" si="1"/>
        <v>162520.09881679693</v>
      </c>
      <c r="O13" s="130">
        <f t="shared" si="1"/>
        <v>170646.1037576368</v>
      </c>
      <c r="P13" s="164">
        <f t="shared" si="1"/>
        <v>179178.40894551863</v>
      </c>
    </row>
    <row r="14" spans="1:17" hidden="1" outlineLevel="1" collapsed="1" x14ac:dyDescent="0.2">
      <c r="A14" s="211" t="s">
        <v>185</v>
      </c>
      <c r="B14" s="229">
        <f>SUM(B11:B13)</f>
        <v>200000</v>
      </c>
      <c r="C14" s="230">
        <f>Assumptions!C14</f>
        <v>176688</v>
      </c>
      <c r="D14" s="230">
        <f>SUM(D11:D13)</f>
        <v>259000</v>
      </c>
      <c r="E14" s="130">
        <f>Assumptions!E14</f>
        <v>305400</v>
      </c>
      <c r="F14" s="219" t="s">
        <v>202</v>
      </c>
      <c r="G14" s="162">
        <f t="shared" ref="G14:P14" si="2">SUM(G11:G13)</f>
        <v>314808</v>
      </c>
      <c r="H14" s="130">
        <f t="shared" si="2"/>
        <v>324569.16000000003</v>
      </c>
      <c r="I14" s="130">
        <f t="shared" si="2"/>
        <v>334698.79320000001</v>
      </c>
      <c r="J14" s="163">
        <f t="shared" si="2"/>
        <v>345212.93156400003</v>
      </c>
      <c r="K14" s="130">
        <f t="shared" si="2"/>
        <v>356128.36082028004</v>
      </c>
      <c r="L14" s="130">
        <f t="shared" si="2"/>
        <v>367462.65719293564</v>
      </c>
      <c r="M14" s="130">
        <f t="shared" si="2"/>
        <v>379234.22595085687</v>
      </c>
      <c r="N14" s="130">
        <f t="shared" si="2"/>
        <v>391462.34186463966</v>
      </c>
      <c r="O14" s="130">
        <f t="shared" si="2"/>
        <v>404167.19166643638</v>
      </c>
      <c r="P14" s="164">
        <f t="shared" si="2"/>
        <v>417369.91861249425</v>
      </c>
    </row>
    <row r="15" spans="1:17" hidden="1" outlineLevel="1" x14ac:dyDescent="0.2">
      <c r="A15" s="211" t="s">
        <v>191</v>
      </c>
      <c r="B15" s="229">
        <v>15000</v>
      </c>
      <c r="C15" s="230">
        <f>Assumptions!C15</f>
        <v>2500</v>
      </c>
      <c r="D15" s="230">
        <v>15500</v>
      </c>
      <c r="E15" s="130">
        <f>Assumptions!E15</f>
        <v>25000</v>
      </c>
      <c r="F15" s="219">
        <f>Assumptions!F15</f>
        <v>0.05</v>
      </c>
      <c r="G15" s="162">
        <f>$E15*(1+$F15)</f>
        <v>26250</v>
      </c>
      <c r="H15" s="130">
        <f>G15*(1+$F15)</f>
        <v>27562.5</v>
      </c>
      <c r="I15" s="130">
        <f>H15*(1+$F15)</f>
        <v>28940.625</v>
      </c>
      <c r="J15" s="163">
        <f>I15*(1+$F15)</f>
        <v>30387.65625</v>
      </c>
      <c r="K15" s="130">
        <f t="shared" ref="K15:P15" si="3">J15*(1+$F15)</f>
        <v>31907.0390625</v>
      </c>
      <c r="L15" s="130">
        <f t="shared" si="3"/>
        <v>33502.391015624999</v>
      </c>
      <c r="M15" s="130">
        <f t="shared" si="3"/>
        <v>35177.51056640625</v>
      </c>
      <c r="N15" s="130">
        <f t="shared" si="3"/>
        <v>36936.386094726564</v>
      </c>
      <c r="O15" s="130">
        <f t="shared" si="3"/>
        <v>38783.205399462895</v>
      </c>
      <c r="P15" s="164">
        <f t="shared" si="3"/>
        <v>40722.36566943604</v>
      </c>
    </row>
    <row r="16" spans="1:17" hidden="1" outlineLevel="1" x14ac:dyDescent="0.2">
      <c r="A16" s="211" t="s">
        <v>175</v>
      </c>
      <c r="B16" s="229">
        <v>66000</v>
      </c>
      <c r="C16" s="230">
        <f>Assumptions!C16</f>
        <v>63836</v>
      </c>
      <c r="D16" s="230">
        <v>60000</v>
      </c>
      <c r="E16" s="130">
        <f>Assumptions!E16</f>
        <v>63000</v>
      </c>
      <c r="F16" s="219">
        <f>Assumptions!F16</f>
        <v>0.01</v>
      </c>
      <c r="G16" s="162">
        <f>$E16*(1+$F16)</f>
        <v>63630</v>
      </c>
      <c r="H16" s="130">
        <f>G16*(1+$F16)</f>
        <v>64266.3</v>
      </c>
      <c r="I16" s="130">
        <f t="shared" ref="I16:P18" si="4">H16*(1+$F16)</f>
        <v>64908.963000000003</v>
      </c>
      <c r="J16" s="163">
        <f t="shared" si="4"/>
        <v>65558.052630000006</v>
      </c>
      <c r="K16" s="130">
        <f t="shared" si="4"/>
        <v>66213.633156300013</v>
      </c>
      <c r="L16" s="130">
        <f t="shared" si="4"/>
        <v>66875.769487863014</v>
      </c>
      <c r="M16" s="130">
        <f t="shared" si="4"/>
        <v>67544.527182741644</v>
      </c>
      <c r="N16" s="130">
        <f t="shared" si="4"/>
        <v>68219.972454569055</v>
      </c>
      <c r="O16" s="130">
        <f t="shared" si="4"/>
        <v>68902.172179114743</v>
      </c>
      <c r="P16" s="164">
        <f t="shared" si="4"/>
        <v>69591.193900905884</v>
      </c>
    </row>
    <row r="17" spans="1:16" hidden="1" outlineLevel="1" x14ac:dyDescent="0.2">
      <c r="A17" s="211" t="s">
        <v>97</v>
      </c>
      <c r="B17" s="229">
        <v>56000</v>
      </c>
      <c r="C17" s="230">
        <f>Assumptions!C17</f>
        <v>53230</v>
      </c>
      <c r="D17" s="229">
        <v>59500</v>
      </c>
      <c r="E17" s="130">
        <f>Assumptions!E17</f>
        <v>62000</v>
      </c>
      <c r="F17" s="219">
        <f>Assumptions!F17</f>
        <v>7.0000000000000007E-2</v>
      </c>
      <c r="G17" s="162">
        <f>$E17*(1+$F17)</f>
        <v>66340</v>
      </c>
      <c r="H17" s="130">
        <f>G17*(1+$F17)</f>
        <v>70983.8</v>
      </c>
      <c r="I17" s="130">
        <f t="shared" si="4"/>
        <v>75952.666000000012</v>
      </c>
      <c r="J17" s="163">
        <f t="shared" si="4"/>
        <v>81269.35262000002</v>
      </c>
      <c r="K17" s="130">
        <f t="shared" si="4"/>
        <v>86958.20730340002</v>
      </c>
      <c r="L17" s="130">
        <f t="shared" si="4"/>
        <v>93045.28181463803</v>
      </c>
      <c r="M17" s="130">
        <f t="shared" si="4"/>
        <v>99558.451541662696</v>
      </c>
      <c r="N17" s="130">
        <f t="shared" si="4"/>
        <v>106527.5431495791</v>
      </c>
      <c r="O17" s="130">
        <f t="shared" si="4"/>
        <v>113984.47117004964</v>
      </c>
      <c r="P17" s="164">
        <f t="shared" si="4"/>
        <v>121963.38415195313</v>
      </c>
    </row>
    <row r="18" spans="1:16" hidden="1" outlineLevel="1" x14ac:dyDescent="0.2">
      <c r="A18" s="211" t="s">
        <v>96</v>
      </c>
      <c r="B18" s="229">
        <v>64406</v>
      </c>
      <c r="C18" s="230">
        <f>Assumptions!C18</f>
        <v>56725</v>
      </c>
      <c r="D18" s="229">
        <v>46126</v>
      </c>
      <c r="E18" s="130">
        <f>Assumptions!E18</f>
        <v>61100</v>
      </c>
      <c r="F18" s="219">
        <f>Assumptions!F18</f>
        <v>0.03</v>
      </c>
      <c r="G18" s="162">
        <f>$E18*(1+$F18)</f>
        <v>62933</v>
      </c>
      <c r="H18" s="130">
        <f>G18*(1+$F18)</f>
        <v>64820.990000000005</v>
      </c>
      <c r="I18" s="130">
        <f t="shared" si="4"/>
        <v>66765.61970000001</v>
      </c>
      <c r="J18" s="163">
        <f t="shared" si="4"/>
        <v>68768.588291000007</v>
      </c>
      <c r="K18" s="130">
        <f t="shared" si="4"/>
        <v>70831.645939730006</v>
      </c>
      <c r="L18" s="130">
        <f t="shared" si="4"/>
        <v>72956.595317921907</v>
      </c>
      <c r="M18" s="130">
        <f t="shared" si="4"/>
        <v>75145.293177459564</v>
      </c>
      <c r="N18" s="130">
        <f t="shared" si="4"/>
        <v>77399.651972783351</v>
      </c>
      <c r="O18" s="130">
        <f t="shared" si="4"/>
        <v>79721.641531966859</v>
      </c>
      <c r="P18" s="164">
        <f t="shared" si="4"/>
        <v>82113.290777925868</v>
      </c>
    </row>
    <row r="19" spans="1:16" hidden="1" outlineLevel="1" x14ac:dyDescent="0.2">
      <c r="A19" s="211" t="s">
        <v>98</v>
      </c>
      <c r="B19" s="229">
        <v>107625</v>
      </c>
      <c r="C19" s="230">
        <f>Assumptions!C19</f>
        <v>97017</v>
      </c>
      <c r="D19" s="229">
        <f>SUM(D20:D21)</f>
        <v>118194</v>
      </c>
      <c r="E19" s="130">
        <f>Assumptions!E19</f>
        <v>133000</v>
      </c>
      <c r="F19" s="219" t="s">
        <v>202</v>
      </c>
      <c r="G19" s="162">
        <f>SUM(G20:G21)</f>
        <v>136990</v>
      </c>
      <c r="H19" s="130">
        <f t="shared" ref="H19:P19" si="5">SUM(H20:H21)</f>
        <v>141099.70000000001</v>
      </c>
      <c r="I19" s="130">
        <f t="shared" si="5"/>
        <v>145332.69100000002</v>
      </c>
      <c r="J19" s="163">
        <f t="shared" si="5"/>
        <v>149692.67173000003</v>
      </c>
      <c r="K19" s="130">
        <f t="shared" si="5"/>
        <v>154183.45188190002</v>
      </c>
      <c r="L19" s="130">
        <f t="shared" si="5"/>
        <v>158808.95543835702</v>
      </c>
      <c r="M19" s="130">
        <f t="shared" si="5"/>
        <v>163573.22410150775</v>
      </c>
      <c r="N19" s="130">
        <f t="shared" si="5"/>
        <v>168480.420824553</v>
      </c>
      <c r="O19" s="130">
        <f t="shared" si="5"/>
        <v>173534.83344928958</v>
      </c>
      <c r="P19" s="164">
        <f t="shared" si="5"/>
        <v>178740.87845276826</v>
      </c>
    </row>
    <row r="20" spans="1:16" hidden="1" outlineLevel="2" x14ac:dyDescent="0.2">
      <c r="A20" s="211" t="s">
        <v>11</v>
      </c>
      <c r="B20" s="229"/>
      <c r="C20" s="230">
        <f>Assumptions!C20</f>
        <v>31196</v>
      </c>
      <c r="D20" s="229">
        <v>36000</v>
      </c>
      <c r="E20" s="130">
        <f>Assumptions!E20</f>
        <v>52000</v>
      </c>
      <c r="F20" s="219">
        <f>Assumptions!F20</f>
        <v>0.03</v>
      </c>
      <c r="G20" s="162">
        <f>$E20*(1+$F20)</f>
        <v>53560</v>
      </c>
      <c r="H20" s="130">
        <f>G20*(1+$F$20)</f>
        <v>55166.8</v>
      </c>
      <c r="I20" s="130">
        <f>H20*(1+$F$20)</f>
        <v>56821.804000000004</v>
      </c>
      <c r="J20" s="130">
        <f t="shared" ref="J20:P20" si="6">I20*(1+$F$20)</f>
        <v>58526.458120000003</v>
      </c>
      <c r="K20" s="130">
        <f t="shared" si="6"/>
        <v>60282.251863600002</v>
      </c>
      <c r="L20" s="130">
        <f t="shared" si="6"/>
        <v>62090.719419508001</v>
      </c>
      <c r="M20" s="130">
        <f t="shared" si="6"/>
        <v>63953.441002093241</v>
      </c>
      <c r="N20" s="130">
        <f t="shared" si="6"/>
        <v>65872.04423215604</v>
      </c>
      <c r="O20" s="130">
        <f t="shared" si="6"/>
        <v>67848.205559120717</v>
      </c>
      <c r="P20" s="130">
        <f t="shared" si="6"/>
        <v>69883.651725894335</v>
      </c>
    </row>
    <row r="21" spans="1:16" hidden="1" outlineLevel="2" x14ac:dyDescent="0.2">
      <c r="A21" s="211" t="s">
        <v>12</v>
      </c>
      <c r="B21" s="229"/>
      <c r="C21" s="230">
        <f>Assumptions!C21</f>
        <v>65821</v>
      </c>
      <c r="D21" s="229">
        <v>82194</v>
      </c>
      <c r="E21" s="130">
        <f>Assumptions!E21</f>
        <v>81000</v>
      </c>
      <c r="F21" s="219">
        <f>Assumptions!F21</f>
        <v>0.03</v>
      </c>
      <c r="G21" s="162">
        <f>$E21*(1+$F21)</f>
        <v>83430</v>
      </c>
      <c r="H21" s="130">
        <f>G21*(1+$F$21)</f>
        <v>85932.900000000009</v>
      </c>
      <c r="I21" s="130">
        <f t="shared" ref="I21:P21" si="7">H21*(1+$F$21)</f>
        <v>88510.887000000017</v>
      </c>
      <c r="J21" s="130">
        <f t="shared" si="7"/>
        <v>91166.213610000021</v>
      </c>
      <c r="K21" s="130">
        <f t="shared" si="7"/>
        <v>93901.20001830002</v>
      </c>
      <c r="L21" s="130">
        <f t="shared" si="7"/>
        <v>96718.236018849027</v>
      </c>
      <c r="M21" s="130">
        <f t="shared" si="7"/>
        <v>99619.783099414504</v>
      </c>
      <c r="N21" s="130">
        <f t="shared" si="7"/>
        <v>102608.37659239695</v>
      </c>
      <c r="O21" s="130">
        <f t="shared" si="7"/>
        <v>105686.62789016886</v>
      </c>
      <c r="P21" s="130">
        <f t="shared" si="7"/>
        <v>108857.22672687394</v>
      </c>
    </row>
    <row r="22" spans="1:16" hidden="1" outlineLevel="1" collapsed="1" x14ac:dyDescent="0.2">
      <c r="A22" s="211" t="s">
        <v>176</v>
      </c>
      <c r="B22" s="229">
        <v>65000</v>
      </c>
      <c r="C22" s="230">
        <f>Assumptions!C22</f>
        <v>63000</v>
      </c>
      <c r="D22" s="229">
        <v>80000</v>
      </c>
      <c r="E22" s="130">
        <f>Assumptions!E22</f>
        <v>85000</v>
      </c>
      <c r="F22" s="219">
        <f>Assumptions!F22</f>
        <v>0.01</v>
      </c>
      <c r="G22" s="162">
        <f>$E22*(1+$F22)</f>
        <v>85850</v>
      </c>
      <c r="H22" s="130">
        <f>G22*(1+$F22)</f>
        <v>86708.5</v>
      </c>
      <c r="I22" s="130">
        <f>H22*(1+$F22)</f>
        <v>87575.585000000006</v>
      </c>
      <c r="J22" s="130">
        <f t="shared" ref="J22:P22" si="8">I22*(1+$F22)</f>
        <v>88451.340850000008</v>
      </c>
      <c r="K22" s="130">
        <f t="shared" si="8"/>
        <v>89335.85425850001</v>
      </c>
      <c r="L22" s="130">
        <f t="shared" si="8"/>
        <v>90229.212801085014</v>
      </c>
      <c r="M22" s="130">
        <f t="shared" si="8"/>
        <v>91131.50492909587</v>
      </c>
      <c r="N22" s="130">
        <f t="shared" si="8"/>
        <v>92042.819978386833</v>
      </c>
      <c r="O22" s="130">
        <f t="shared" si="8"/>
        <v>92963.248178170703</v>
      </c>
      <c r="P22" s="164">
        <f t="shared" si="8"/>
        <v>93892.88065995241</v>
      </c>
    </row>
    <row r="23" spans="1:16" hidden="1" outlineLevel="1" x14ac:dyDescent="0.2">
      <c r="A23" s="211" t="s">
        <v>194</v>
      </c>
      <c r="B23" s="229">
        <v>49000</v>
      </c>
      <c r="C23" s="230">
        <f>Assumptions!C23</f>
        <v>32500</v>
      </c>
      <c r="D23" s="230">
        <v>34000</v>
      </c>
      <c r="E23" s="130">
        <f>Assumptions!E23</f>
        <v>38500</v>
      </c>
      <c r="F23" s="219">
        <f>Assumptions!F23</f>
        <v>0.05</v>
      </c>
      <c r="G23" s="162">
        <f>$E23*(1+$F23)</f>
        <v>40425</v>
      </c>
      <c r="H23" s="130">
        <f>G23*(1+$F23)</f>
        <v>42446.25</v>
      </c>
      <c r="I23" s="130">
        <f t="shared" ref="I23:P23" si="9">H23*(1+$F23)</f>
        <v>44568.5625</v>
      </c>
      <c r="J23" s="163">
        <f t="shared" si="9"/>
        <v>46796.990624999999</v>
      </c>
      <c r="K23" s="130">
        <f t="shared" si="9"/>
        <v>49136.84015625</v>
      </c>
      <c r="L23" s="130">
        <f t="shared" si="9"/>
        <v>51593.682164062506</v>
      </c>
      <c r="M23" s="130">
        <f t="shared" si="9"/>
        <v>54173.36627226563</v>
      </c>
      <c r="N23" s="130">
        <f t="shared" si="9"/>
        <v>56882.034585878915</v>
      </c>
      <c r="O23" s="130">
        <f t="shared" si="9"/>
        <v>59726.136315172866</v>
      </c>
      <c r="P23" s="164">
        <f t="shared" si="9"/>
        <v>62712.443130931511</v>
      </c>
    </row>
    <row r="24" spans="1:16" hidden="1" outlineLevel="1" x14ac:dyDescent="0.2">
      <c r="A24" s="211" t="s">
        <v>201</v>
      </c>
      <c r="B24" s="229"/>
      <c r="C24" s="230">
        <f>Assumptions!C24</f>
        <v>60000</v>
      </c>
      <c r="D24" s="230">
        <v>55500</v>
      </c>
      <c r="E24" s="130">
        <f>Assumptions!E24</f>
        <v>7000</v>
      </c>
      <c r="F24" s="219"/>
      <c r="G24" s="162">
        <f>E24*(1+$F$24)</f>
        <v>7000</v>
      </c>
      <c r="H24" s="162">
        <f>G24*(1+$F$24)</f>
        <v>7000</v>
      </c>
      <c r="I24" s="162">
        <f t="shared" ref="I24:P24" si="10">H24*(1+$F$24)</f>
        <v>7000</v>
      </c>
      <c r="J24" s="162">
        <f t="shared" si="10"/>
        <v>7000</v>
      </c>
      <c r="K24" s="162">
        <f t="shared" si="10"/>
        <v>7000</v>
      </c>
      <c r="L24" s="162">
        <f t="shared" si="10"/>
        <v>7000</v>
      </c>
      <c r="M24" s="162">
        <f t="shared" si="10"/>
        <v>7000</v>
      </c>
      <c r="N24" s="162">
        <f t="shared" si="10"/>
        <v>7000</v>
      </c>
      <c r="O24" s="162">
        <f t="shared" si="10"/>
        <v>7000</v>
      </c>
      <c r="P24" s="162">
        <f t="shared" si="10"/>
        <v>7000</v>
      </c>
    </row>
    <row r="25" spans="1:16" hidden="1" outlineLevel="1" x14ac:dyDescent="0.2">
      <c r="A25" s="211" t="s">
        <v>193</v>
      </c>
      <c r="B25" s="229">
        <v>146000</v>
      </c>
      <c r="C25" s="230">
        <f>Assumptions!C25</f>
        <v>137156</v>
      </c>
      <c r="D25" s="230">
        <v>75000</v>
      </c>
      <c r="E25" s="130">
        <f>Assumptions!E25</f>
        <v>71106</v>
      </c>
      <c r="F25" s="219" t="s">
        <v>202</v>
      </c>
      <c r="G25" s="162">
        <f>G56</f>
        <v>76023.569999999949</v>
      </c>
      <c r="H25" s="130">
        <f t="shared" ref="H25:P25" si="11">H56</f>
        <v>81223.67790000001</v>
      </c>
      <c r="I25" s="130">
        <f t="shared" si="11"/>
        <v>86730.616893000086</v>
      </c>
      <c r="J25" s="163">
        <f t="shared" si="11"/>
        <v>92571.038326109992</v>
      </c>
      <c r="K25" s="130">
        <f t="shared" si="11"/>
        <v>98774.174164415803</v>
      </c>
      <c r="L25" s="130">
        <f t="shared" si="11"/>
        <v>105372.07951147819</v>
      </c>
      <c r="M25" s="130">
        <f t="shared" si="11"/>
        <v>112399.89693299867</v>
      </c>
      <c r="N25" s="130">
        <f t="shared" si="11"/>
        <v>119896.14447871048</v>
      </c>
      <c r="O25" s="130">
        <f t="shared" si="11"/>
        <v>127903.02945850964</v>
      </c>
      <c r="P25" s="164">
        <f t="shared" si="11"/>
        <v>136466.79020327004</v>
      </c>
    </row>
    <row r="26" spans="1:16" collapsed="1" x14ac:dyDescent="0.2">
      <c r="A26" s="211" t="s">
        <v>186</v>
      </c>
      <c r="B26" s="213">
        <f>SUM(B14:B25)</f>
        <v>769031</v>
      </c>
      <c r="C26" s="230">
        <f>Assumptions!C26</f>
        <v>742652</v>
      </c>
      <c r="D26" s="229">
        <f>SUM(D14:D25)-D19</f>
        <v>802820</v>
      </c>
      <c r="E26" s="130">
        <f>Assumptions!E26</f>
        <v>851106</v>
      </c>
      <c r="F26" s="219" t="s">
        <v>202</v>
      </c>
      <c r="G26" s="162">
        <f>SUM(G14:G25)-G19</f>
        <v>880249.57</v>
      </c>
      <c r="H26" s="130">
        <f t="shared" ref="H26:P26" si="12">SUM(H14:H25)-H19</f>
        <v>910680.87789999996</v>
      </c>
      <c r="I26" s="130">
        <f t="shared" si="12"/>
        <v>942474.12229300023</v>
      </c>
      <c r="J26" s="163">
        <f t="shared" si="12"/>
        <v>975708.6228861101</v>
      </c>
      <c r="K26" s="130">
        <f t="shared" si="12"/>
        <v>1010469.2067432757</v>
      </c>
      <c r="L26" s="130">
        <f t="shared" si="12"/>
        <v>1046846.6247439662</v>
      </c>
      <c r="M26" s="130">
        <f t="shared" si="12"/>
        <v>1084938.000654995</v>
      </c>
      <c r="N26" s="130">
        <f t="shared" si="12"/>
        <v>1124847.315403827</v>
      </c>
      <c r="O26" s="130">
        <f t="shared" si="12"/>
        <v>1166685.9293481731</v>
      </c>
      <c r="P26" s="164">
        <f t="shared" si="12"/>
        <v>1210573.1455596373</v>
      </c>
    </row>
    <row r="27" spans="1:16" x14ac:dyDescent="0.2">
      <c r="C27" s="230"/>
      <c r="D27" s="230"/>
      <c r="E27" s="167"/>
      <c r="F27" s="219"/>
      <c r="G27" s="162"/>
      <c r="H27" s="130"/>
      <c r="I27" s="130"/>
      <c r="J27" s="163"/>
      <c r="K27" s="130"/>
      <c r="L27" s="130"/>
      <c r="M27" s="130"/>
      <c r="N27" s="130"/>
      <c r="O27" s="130"/>
      <c r="P27" s="164"/>
    </row>
    <row r="28" spans="1:16" x14ac:dyDescent="0.2">
      <c r="A28" s="211" t="s">
        <v>188</v>
      </c>
      <c r="C28" s="230"/>
      <c r="D28" s="230"/>
      <c r="F28" s="219"/>
      <c r="G28" s="231"/>
      <c r="H28" s="155"/>
      <c r="I28" s="155"/>
      <c r="J28" s="224"/>
      <c r="K28" s="155"/>
      <c r="L28" s="155"/>
      <c r="M28" s="155"/>
      <c r="N28" s="155"/>
      <c r="O28" s="155"/>
      <c r="P28" s="232"/>
    </row>
    <row r="29" spans="1:16" outlineLevel="1" x14ac:dyDescent="0.2">
      <c r="A29" s="211" t="s">
        <v>26</v>
      </c>
      <c r="C29" s="230">
        <f>Assumptions!C29</f>
        <v>256568</v>
      </c>
      <c r="D29" s="229">
        <v>231164</v>
      </c>
      <c r="E29" s="130">
        <f>Assumptions!E29</f>
        <v>284599</v>
      </c>
      <c r="F29" s="219">
        <f>Assumptions!F29</f>
        <v>2.75E-2</v>
      </c>
      <c r="G29" s="162">
        <f>$E29*(1+$F29)</f>
        <v>292425.47250000003</v>
      </c>
      <c r="H29" s="130">
        <f t="shared" ref="H29:P43" si="13">G29*(1+$F29)</f>
        <v>300467.17299375008</v>
      </c>
      <c r="I29" s="130">
        <f t="shared" si="13"/>
        <v>308730.02025107824</v>
      </c>
      <c r="J29" s="165">
        <f t="shared" si="13"/>
        <v>317220.0958079829</v>
      </c>
      <c r="K29" s="130">
        <f t="shared" si="13"/>
        <v>325943.64844270243</v>
      </c>
      <c r="L29" s="130">
        <f t="shared" si="13"/>
        <v>334907.09877487679</v>
      </c>
      <c r="M29" s="130">
        <f t="shared" si="13"/>
        <v>344117.04399118596</v>
      </c>
      <c r="N29" s="130">
        <f t="shared" si="13"/>
        <v>353580.26270094363</v>
      </c>
      <c r="O29" s="130">
        <f t="shared" si="13"/>
        <v>363303.7199252196</v>
      </c>
      <c r="P29" s="164">
        <f t="shared" si="13"/>
        <v>373294.57222316315</v>
      </c>
    </row>
    <row r="30" spans="1:16" outlineLevel="1" x14ac:dyDescent="0.2">
      <c r="A30" s="211" t="s">
        <v>182</v>
      </c>
      <c r="B30" s="229">
        <v>489722</v>
      </c>
      <c r="C30" s="230">
        <f>Assumptions!C30</f>
        <v>486084</v>
      </c>
      <c r="D30" s="230">
        <v>540000</v>
      </c>
      <c r="E30" s="130">
        <f>Assumptions!E30</f>
        <v>566505</v>
      </c>
      <c r="F30" s="219">
        <f>Assumptions!F30</f>
        <v>0.04</v>
      </c>
      <c r="G30" s="162">
        <f>$E30*(1+$F30)</f>
        <v>589165.20000000007</v>
      </c>
      <c r="H30" s="130">
        <f t="shared" si="13"/>
        <v>612731.80800000008</v>
      </c>
      <c r="I30" s="130">
        <f t="shared" si="13"/>
        <v>637241.08032000007</v>
      </c>
      <c r="J30" s="165">
        <f t="shared" si="13"/>
        <v>662730.7235328001</v>
      </c>
      <c r="K30" s="130">
        <f t="shared" si="13"/>
        <v>689239.95247411216</v>
      </c>
      <c r="L30" s="130">
        <f t="shared" si="13"/>
        <v>716809.5505730767</v>
      </c>
      <c r="M30" s="130">
        <f t="shared" si="13"/>
        <v>745481.9325959998</v>
      </c>
      <c r="N30" s="130">
        <f t="shared" si="13"/>
        <v>775301.20989983983</v>
      </c>
      <c r="O30" s="130">
        <f t="shared" si="13"/>
        <v>806313.25829583348</v>
      </c>
      <c r="P30" s="164">
        <f t="shared" si="13"/>
        <v>838565.78862766689</v>
      </c>
    </row>
    <row r="31" spans="1:16" hidden="1" outlineLevel="2" x14ac:dyDescent="0.2">
      <c r="A31" s="211" t="s">
        <v>14</v>
      </c>
      <c r="B31" s="229"/>
      <c r="C31" s="230">
        <f>Assumptions!C31</f>
        <v>0</v>
      </c>
      <c r="D31" s="230"/>
      <c r="E31" s="130">
        <f>Assumptions!E31</f>
        <v>0</v>
      </c>
      <c r="F31" s="219"/>
      <c r="G31" s="162">
        <f>$E31*(1+$F31)</f>
        <v>0</v>
      </c>
      <c r="H31" s="130">
        <f t="shared" si="13"/>
        <v>0</v>
      </c>
      <c r="I31" s="130">
        <f t="shared" si="13"/>
        <v>0</v>
      </c>
      <c r="J31" s="165">
        <f t="shared" si="13"/>
        <v>0</v>
      </c>
      <c r="K31" s="130">
        <f t="shared" si="13"/>
        <v>0</v>
      </c>
      <c r="L31" s="130">
        <f t="shared" si="13"/>
        <v>0</v>
      </c>
      <c r="M31" s="130">
        <f t="shared" si="13"/>
        <v>0</v>
      </c>
      <c r="N31" s="130">
        <f t="shared" si="13"/>
        <v>0</v>
      </c>
      <c r="O31" s="130">
        <f t="shared" si="13"/>
        <v>0</v>
      </c>
      <c r="P31" s="164">
        <f t="shared" si="13"/>
        <v>0</v>
      </c>
    </row>
    <row r="32" spans="1:16" hidden="1" outlineLevel="2" x14ac:dyDescent="0.2">
      <c r="A32" s="211" t="s">
        <v>15</v>
      </c>
      <c r="B32" s="229"/>
      <c r="C32" s="230"/>
      <c r="D32" s="230"/>
      <c r="E32" s="130">
        <f>Assumptions!E32</f>
        <v>0</v>
      </c>
      <c r="F32" s="219"/>
      <c r="G32" s="162">
        <f>$E32*(1+$F32)</f>
        <v>0</v>
      </c>
      <c r="H32" s="130">
        <f t="shared" si="13"/>
        <v>0</v>
      </c>
      <c r="I32" s="130">
        <f t="shared" si="13"/>
        <v>0</v>
      </c>
      <c r="J32" s="165">
        <f t="shared" si="13"/>
        <v>0</v>
      </c>
      <c r="K32" s="130">
        <f t="shared" si="13"/>
        <v>0</v>
      </c>
      <c r="L32" s="130">
        <f t="shared" si="13"/>
        <v>0</v>
      </c>
      <c r="M32" s="130">
        <f t="shared" si="13"/>
        <v>0</v>
      </c>
      <c r="N32" s="130">
        <f t="shared" si="13"/>
        <v>0</v>
      </c>
      <c r="O32" s="130">
        <f t="shared" si="13"/>
        <v>0</v>
      </c>
      <c r="P32" s="164">
        <f t="shared" si="13"/>
        <v>0</v>
      </c>
    </row>
    <row r="33" spans="1:16" outlineLevel="1" collapsed="1" x14ac:dyDescent="0.2">
      <c r="A33" s="211" t="s">
        <v>190</v>
      </c>
      <c r="B33" s="229">
        <v>140160</v>
      </c>
      <c r="C33" s="230"/>
      <c r="D33" s="230">
        <f>Assumptions!D33</f>
        <v>445659</v>
      </c>
      <c r="E33" s="167">
        <f>SUM(E34:E40)</f>
        <v>529699</v>
      </c>
      <c r="F33" s="219" t="s">
        <v>202</v>
      </c>
      <c r="G33" s="162">
        <f>SUM(G34:G40)</f>
        <v>545589.97</v>
      </c>
      <c r="H33" s="167">
        <f>SUM(H34:H40)</f>
        <v>561957.66909999994</v>
      </c>
      <c r="I33" s="168">
        <f>SUM(I34:I40)</f>
        <v>578816.39917300013</v>
      </c>
      <c r="J33" s="167">
        <f t="shared" ref="J33:P33" si="14">SUM(J34:J40)</f>
        <v>596180.89114819001</v>
      </c>
      <c r="K33" s="167">
        <f t="shared" si="14"/>
        <v>614066.31788263575</v>
      </c>
      <c r="L33" s="167">
        <f t="shared" si="14"/>
        <v>632488.30741911486</v>
      </c>
      <c r="M33" s="167">
        <f t="shared" si="14"/>
        <v>651462.95664168824</v>
      </c>
      <c r="N33" s="167">
        <f t="shared" si="14"/>
        <v>671006.84534093889</v>
      </c>
      <c r="O33" s="167">
        <f t="shared" si="14"/>
        <v>691137.0507011672</v>
      </c>
      <c r="P33" s="164">
        <f t="shared" si="14"/>
        <v>711871.16222220205</v>
      </c>
    </row>
    <row r="34" spans="1:16" outlineLevel="2" x14ac:dyDescent="0.2">
      <c r="A34" s="211" t="s">
        <v>16</v>
      </c>
      <c r="B34" s="229"/>
      <c r="C34" s="230">
        <f>Assumptions!C34</f>
        <v>49412</v>
      </c>
      <c r="D34" s="230">
        <f>Assumptions!D34</f>
        <v>60323</v>
      </c>
      <c r="E34" s="130">
        <f>Assumptions!E34</f>
        <v>60883</v>
      </c>
      <c r="F34" s="219">
        <f>Assumptions!F34</f>
        <v>0.03</v>
      </c>
      <c r="G34" s="162">
        <f t="shared" ref="G34:G41" si="15">$E34*(1+$F34)</f>
        <v>62709.490000000005</v>
      </c>
      <c r="H34" s="130">
        <f t="shared" si="13"/>
        <v>64590.774700000009</v>
      </c>
      <c r="I34" s="130">
        <f t="shared" si="13"/>
        <v>66528.497941000009</v>
      </c>
      <c r="J34" s="165">
        <f t="shared" si="13"/>
        <v>68524.352879230006</v>
      </c>
      <c r="K34" s="130">
        <f t="shared" si="13"/>
        <v>70580.083465606906</v>
      </c>
      <c r="L34" s="130">
        <f t="shared" si="13"/>
        <v>72697.485969575107</v>
      </c>
      <c r="M34" s="130">
        <f t="shared" si="13"/>
        <v>74878.410548662359</v>
      </c>
      <c r="N34" s="130">
        <f t="shared" si="13"/>
        <v>77124.762865122233</v>
      </c>
      <c r="O34" s="130">
        <f t="shared" si="13"/>
        <v>79438.505751075907</v>
      </c>
      <c r="P34" s="164">
        <f t="shared" si="13"/>
        <v>81821.660923608186</v>
      </c>
    </row>
    <row r="35" spans="1:16" outlineLevel="2" x14ac:dyDescent="0.2">
      <c r="A35" s="211" t="s">
        <v>17</v>
      </c>
      <c r="B35" s="229"/>
      <c r="C35" s="230">
        <f>Assumptions!C35</f>
        <v>70848</v>
      </c>
      <c r="D35" s="230">
        <f>Assumptions!D35</f>
        <v>67709</v>
      </c>
      <c r="E35" s="130">
        <f>Assumptions!E35</f>
        <v>79200</v>
      </c>
      <c r="F35" s="219">
        <f>Assumptions!F35</f>
        <v>0.03</v>
      </c>
      <c r="G35" s="162">
        <f t="shared" si="15"/>
        <v>81576</v>
      </c>
      <c r="H35" s="130">
        <f t="shared" si="13"/>
        <v>84023.28</v>
      </c>
      <c r="I35" s="130">
        <f t="shared" si="13"/>
        <v>86543.978400000007</v>
      </c>
      <c r="J35" s="165">
        <f t="shared" si="13"/>
        <v>89140.297752000013</v>
      </c>
      <c r="K35" s="130">
        <f t="shared" si="13"/>
        <v>91814.506684560023</v>
      </c>
      <c r="L35" s="130">
        <f t="shared" si="13"/>
        <v>94568.941885096821</v>
      </c>
      <c r="M35" s="130">
        <f t="shared" si="13"/>
        <v>97406.010141649735</v>
      </c>
      <c r="N35" s="130">
        <f t="shared" si="13"/>
        <v>100328.19044589924</v>
      </c>
      <c r="O35" s="130">
        <f t="shared" si="13"/>
        <v>103338.03615927622</v>
      </c>
      <c r="P35" s="164">
        <f t="shared" si="13"/>
        <v>106438.1772440545</v>
      </c>
    </row>
    <row r="36" spans="1:16" outlineLevel="2" x14ac:dyDescent="0.2">
      <c r="A36" s="211" t="s">
        <v>18</v>
      </c>
      <c r="B36" s="229"/>
      <c r="C36" s="230">
        <f>Assumptions!C36</f>
        <v>40424</v>
      </c>
      <c r="D36" s="230">
        <f>Assumptions!D36</f>
        <v>45619</v>
      </c>
      <c r="E36" s="130">
        <f>Assumptions!E36</f>
        <v>47716</v>
      </c>
      <c r="F36" s="219">
        <f>Assumptions!F36</f>
        <v>0.03</v>
      </c>
      <c r="G36" s="162">
        <f t="shared" si="15"/>
        <v>49147.48</v>
      </c>
      <c r="H36" s="130">
        <f t="shared" si="13"/>
        <v>50621.904400000007</v>
      </c>
      <c r="I36" s="130">
        <f t="shared" si="13"/>
        <v>52140.561532000007</v>
      </c>
      <c r="J36" s="165">
        <f t="shared" si="13"/>
        <v>53704.778377960007</v>
      </c>
      <c r="K36" s="130">
        <f t="shared" si="13"/>
        <v>55315.921729298811</v>
      </c>
      <c r="L36" s="130">
        <f t="shared" si="13"/>
        <v>56975.399381177776</v>
      </c>
      <c r="M36" s="130">
        <f t="shared" si="13"/>
        <v>58684.661362613115</v>
      </c>
      <c r="N36" s="130">
        <f t="shared" si="13"/>
        <v>60445.20120349151</v>
      </c>
      <c r="O36" s="130">
        <f t="shared" si="13"/>
        <v>62258.557239596259</v>
      </c>
      <c r="P36" s="164">
        <f t="shared" si="13"/>
        <v>64126.31395678415</v>
      </c>
    </row>
    <row r="37" spans="1:16" outlineLevel="2" x14ac:dyDescent="0.2">
      <c r="A37" s="211" t="s">
        <v>21</v>
      </c>
      <c r="B37" s="229"/>
      <c r="C37" s="230">
        <f>Assumptions!C37</f>
        <v>51693</v>
      </c>
      <c r="D37" s="230">
        <f>Assumptions!D37</f>
        <v>81789</v>
      </c>
      <c r="E37" s="130">
        <f>Assumptions!E37</f>
        <v>91090</v>
      </c>
      <c r="F37" s="219">
        <f>Assumptions!F37</f>
        <v>0.03</v>
      </c>
      <c r="G37" s="162">
        <f t="shared" si="15"/>
        <v>93822.7</v>
      </c>
      <c r="H37" s="130">
        <f t="shared" si="13"/>
        <v>96637.380999999994</v>
      </c>
      <c r="I37" s="130">
        <f t="shared" si="13"/>
        <v>99536.502429999993</v>
      </c>
      <c r="J37" s="165">
        <f t="shared" si="13"/>
        <v>102522.5975029</v>
      </c>
      <c r="K37" s="130">
        <f t="shared" si="13"/>
        <v>105598.275427987</v>
      </c>
      <c r="L37" s="130">
        <f t="shared" si="13"/>
        <v>108766.22369082661</v>
      </c>
      <c r="M37" s="130">
        <f t="shared" si="13"/>
        <v>112029.21040155141</v>
      </c>
      <c r="N37" s="130">
        <f t="shared" si="13"/>
        <v>115390.08671359795</v>
      </c>
      <c r="O37" s="130">
        <f t="shared" si="13"/>
        <v>118851.7893150059</v>
      </c>
      <c r="P37" s="164">
        <f t="shared" si="13"/>
        <v>122417.34299445608</v>
      </c>
    </row>
    <row r="38" spans="1:16" outlineLevel="2" x14ac:dyDescent="0.2">
      <c r="A38" s="211" t="s">
        <v>23</v>
      </c>
      <c r="B38" s="229"/>
      <c r="C38" s="230">
        <f>Assumptions!C38</f>
        <v>69365</v>
      </c>
      <c r="D38" s="230">
        <f>Assumptions!D38</f>
        <v>49700</v>
      </c>
      <c r="E38" s="130">
        <f>Assumptions!E38</f>
        <v>151266</v>
      </c>
      <c r="F38" s="219">
        <f>Assumptions!F38</f>
        <v>0.03</v>
      </c>
      <c r="G38" s="162">
        <f t="shared" si="15"/>
        <v>155803.98000000001</v>
      </c>
      <c r="H38" s="130">
        <f t="shared" si="13"/>
        <v>160478.09940000001</v>
      </c>
      <c r="I38" s="130">
        <f t="shared" si="13"/>
        <v>165292.44238200001</v>
      </c>
      <c r="J38" s="165">
        <f t="shared" si="13"/>
        <v>170251.21565346001</v>
      </c>
      <c r="K38" s="130">
        <f t="shared" si="13"/>
        <v>175358.75212306381</v>
      </c>
      <c r="L38" s="130">
        <f t="shared" si="13"/>
        <v>180619.51468675572</v>
      </c>
      <c r="M38" s="130">
        <f t="shared" si="13"/>
        <v>186038.1001273584</v>
      </c>
      <c r="N38" s="130">
        <f t="shared" si="13"/>
        <v>191619.24313117916</v>
      </c>
      <c r="O38" s="130">
        <f t="shared" si="13"/>
        <v>197367.82042511454</v>
      </c>
      <c r="P38" s="164">
        <f t="shared" si="13"/>
        <v>203288.85503786796</v>
      </c>
    </row>
    <row r="39" spans="1:16" outlineLevel="2" x14ac:dyDescent="0.2">
      <c r="A39" s="211" t="s">
        <v>22</v>
      </c>
      <c r="B39" s="229"/>
      <c r="C39" s="230">
        <f>Assumptions!C39</f>
        <v>117316</v>
      </c>
      <c r="D39" s="230">
        <f>Assumptions!D39</f>
        <v>93859</v>
      </c>
      <c r="E39" s="130">
        <f>Assumptions!E39</f>
        <v>75778</v>
      </c>
      <c r="F39" s="219">
        <f>Assumptions!F39</f>
        <v>0.03</v>
      </c>
      <c r="G39" s="162">
        <f t="shared" si="15"/>
        <v>78051.34</v>
      </c>
      <c r="H39" s="130">
        <f t="shared" si="13"/>
        <v>80392.8802</v>
      </c>
      <c r="I39" s="130">
        <f t="shared" si="13"/>
        <v>82804.666605999999</v>
      </c>
      <c r="J39" s="165">
        <f t="shared" si="13"/>
        <v>85288.806604180005</v>
      </c>
      <c r="K39" s="130">
        <f t="shared" si="13"/>
        <v>87847.470802305412</v>
      </c>
      <c r="L39" s="130">
        <f t="shared" si="13"/>
        <v>90482.894926374574</v>
      </c>
      <c r="M39" s="130">
        <f t="shared" si="13"/>
        <v>93197.381774165813</v>
      </c>
      <c r="N39" s="130">
        <f t="shared" si="13"/>
        <v>95993.303227390788</v>
      </c>
      <c r="O39" s="130">
        <f t="shared" si="13"/>
        <v>98873.102324212508</v>
      </c>
      <c r="P39" s="164">
        <f t="shared" si="13"/>
        <v>101839.29539393888</v>
      </c>
    </row>
    <row r="40" spans="1:16" outlineLevel="2" x14ac:dyDescent="0.2">
      <c r="A40" s="211" t="s">
        <v>24</v>
      </c>
      <c r="B40" s="229"/>
      <c r="C40" s="230">
        <f>Assumptions!C40</f>
        <v>45026</v>
      </c>
      <c r="D40" s="230">
        <f>Assumptions!D40</f>
        <v>46660</v>
      </c>
      <c r="E40" s="130">
        <f>Assumptions!E40</f>
        <v>23766</v>
      </c>
      <c r="F40" s="219">
        <f>Assumptions!F40</f>
        <v>0.03</v>
      </c>
      <c r="G40" s="162">
        <f t="shared" si="15"/>
        <v>24478.98</v>
      </c>
      <c r="H40" s="130">
        <f t="shared" si="13"/>
        <v>25213.349399999999</v>
      </c>
      <c r="I40" s="130">
        <f t="shared" si="13"/>
        <v>25969.749882</v>
      </c>
      <c r="J40" s="165">
        <f t="shared" si="13"/>
        <v>26748.842378460002</v>
      </c>
      <c r="K40" s="130">
        <f t="shared" si="13"/>
        <v>27551.307649813803</v>
      </c>
      <c r="L40" s="130">
        <f t="shared" si="13"/>
        <v>28377.846879308217</v>
      </c>
      <c r="M40" s="130">
        <f t="shared" si="13"/>
        <v>29229.182285687464</v>
      </c>
      <c r="N40" s="130">
        <f t="shared" si="13"/>
        <v>30106.05775425809</v>
      </c>
      <c r="O40" s="130">
        <f t="shared" si="13"/>
        <v>31009.239486885836</v>
      </c>
      <c r="P40" s="164">
        <f t="shared" si="13"/>
        <v>31939.516671492413</v>
      </c>
    </row>
    <row r="41" spans="1:16" outlineLevel="1" x14ac:dyDescent="0.2">
      <c r="A41" s="211" t="s">
        <v>99</v>
      </c>
      <c r="B41" s="229">
        <v>68700</v>
      </c>
      <c r="C41" s="230">
        <f>Assumptions!C41</f>
        <v>88687</v>
      </c>
      <c r="D41" s="230">
        <f>Assumptions!D41</f>
        <v>103087</v>
      </c>
      <c r="E41" s="130">
        <f>Assumptions!E41</f>
        <v>116074</v>
      </c>
      <c r="F41" s="219">
        <f>Assumptions!F41</f>
        <v>0.02</v>
      </c>
      <c r="G41" s="162">
        <f t="shared" si="15"/>
        <v>118395.48</v>
      </c>
      <c r="H41" s="130">
        <f t="shared" si="13"/>
        <v>120763.38959999999</v>
      </c>
      <c r="I41" s="130">
        <f t="shared" si="13"/>
        <v>123178.65739199999</v>
      </c>
      <c r="J41" s="165">
        <f t="shared" si="13"/>
        <v>125642.23053983999</v>
      </c>
      <c r="K41" s="130">
        <f t="shared" si="13"/>
        <v>128155.0751506368</v>
      </c>
      <c r="L41" s="130">
        <f t="shared" si="13"/>
        <v>130718.17665364953</v>
      </c>
      <c r="M41" s="130">
        <f t="shared" si="13"/>
        <v>133332.54018672253</v>
      </c>
      <c r="N41" s="130">
        <f t="shared" si="13"/>
        <v>135999.19099045699</v>
      </c>
      <c r="O41" s="130">
        <f t="shared" si="13"/>
        <v>138719.17481026612</v>
      </c>
      <c r="P41" s="164">
        <f t="shared" si="13"/>
        <v>141493.55830647144</v>
      </c>
    </row>
    <row r="42" spans="1:16" outlineLevel="1" x14ac:dyDescent="0.2">
      <c r="A42" s="211" t="s">
        <v>183</v>
      </c>
      <c r="B42" s="229">
        <v>56967</v>
      </c>
      <c r="C42" s="230">
        <f>Assumptions!C42</f>
        <v>131739</v>
      </c>
      <c r="D42" s="230">
        <f>Assumptions!D42</f>
        <v>118631</v>
      </c>
      <c r="E42" s="130">
        <f>Assumptions!E42</f>
        <v>91592</v>
      </c>
      <c r="F42" s="219">
        <f>Assumptions!F42</f>
        <v>0.02</v>
      </c>
      <c r="G42" s="162">
        <f>$E42*(1+$F42)</f>
        <v>93423.84</v>
      </c>
      <c r="H42" s="130">
        <f t="shared" si="13"/>
        <v>95292.316800000001</v>
      </c>
      <c r="I42" s="130">
        <f t="shared" si="13"/>
        <v>97198.163136000003</v>
      </c>
      <c r="J42" s="165">
        <f t="shared" si="13"/>
        <v>99142.126398720007</v>
      </c>
      <c r="K42" s="130">
        <f t="shared" si="13"/>
        <v>101124.9689266944</v>
      </c>
      <c r="L42" s="130">
        <f t="shared" si="13"/>
        <v>103147.46830522829</v>
      </c>
      <c r="M42" s="130">
        <f t="shared" si="13"/>
        <v>105210.41767133286</v>
      </c>
      <c r="N42" s="130">
        <f t="shared" si="13"/>
        <v>107314.62602475952</v>
      </c>
      <c r="O42" s="130">
        <f t="shared" si="13"/>
        <v>109460.91854525471</v>
      </c>
      <c r="P42" s="164">
        <f t="shared" si="13"/>
        <v>111650.13691615981</v>
      </c>
    </row>
    <row r="43" spans="1:16" outlineLevel="1" x14ac:dyDescent="0.2">
      <c r="A43" s="211" t="s">
        <v>184</v>
      </c>
      <c r="B43" s="229">
        <v>34300</v>
      </c>
      <c r="C43" s="230">
        <f>Assumptions!C43</f>
        <v>78142</v>
      </c>
      <c r="D43" s="230">
        <f>Assumptions!D43</f>
        <v>91909</v>
      </c>
      <c r="E43" s="130">
        <f>Assumptions!E43</f>
        <v>113741</v>
      </c>
      <c r="F43" s="219">
        <f>Assumptions!F43</f>
        <v>0.08</v>
      </c>
      <c r="G43" s="162">
        <f>E43*(1+$F$43)</f>
        <v>122840.28000000001</v>
      </c>
      <c r="H43" s="130">
        <f>G43*(1+$F$43)</f>
        <v>132667.50240000003</v>
      </c>
      <c r="I43" s="130">
        <f t="shared" si="13"/>
        <v>143280.90259200003</v>
      </c>
      <c r="J43" s="165">
        <f t="shared" si="13"/>
        <v>154743.37479936003</v>
      </c>
      <c r="K43" s="130">
        <f t="shared" si="13"/>
        <v>167122.84478330883</v>
      </c>
      <c r="L43" s="130">
        <f t="shared" si="13"/>
        <v>180492.67236597356</v>
      </c>
      <c r="M43" s="130">
        <f t="shared" si="13"/>
        <v>194932.08615525145</v>
      </c>
      <c r="N43" s="130">
        <f t="shared" si="13"/>
        <v>210526.65304767157</v>
      </c>
      <c r="O43" s="130">
        <f t="shared" si="13"/>
        <v>227368.78529148531</v>
      </c>
      <c r="P43" s="164">
        <f t="shared" si="13"/>
        <v>245558.28811480416</v>
      </c>
    </row>
    <row r="44" spans="1:16" ht="13.5" thickBot="1" x14ac:dyDescent="0.25">
      <c r="A44" s="211" t="s">
        <v>210</v>
      </c>
      <c r="B44" s="229">
        <f>SUM(B30:B43)</f>
        <v>789849</v>
      </c>
      <c r="C44" s="230">
        <f>Assumptions!C44</f>
        <v>742652</v>
      </c>
      <c r="D44" s="230">
        <f>Assumptions!D44</f>
        <v>759286</v>
      </c>
      <c r="E44" s="130">
        <f>Assumptions!E44</f>
        <v>851106</v>
      </c>
      <c r="F44" s="219" t="s">
        <v>202</v>
      </c>
      <c r="G44" s="169">
        <f t="shared" ref="G44:P44" si="16">SUM(G34:G43)</f>
        <v>880249.57</v>
      </c>
      <c r="H44" s="170">
        <f t="shared" si="16"/>
        <v>910680.87789999996</v>
      </c>
      <c r="I44" s="170">
        <f t="shared" si="16"/>
        <v>942474.12229300011</v>
      </c>
      <c r="J44" s="171">
        <f t="shared" si="16"/>
        <v>975708.62288610998</v>
      </c>
      <c r="K44" s="170">
        <f t="shared" si="16"/>
        <v>1010469.2067432757</v>
      </c>
      <c r="L44" s="170">
        <f t="shared" si="16"/>
        <v>1046846.6247439663</v>
      </c>
      <c r="M44" s="170">
        <f t="shared" si="16"/>
        <v>1084938.000654995</v>
      </c>
      <c r="N44" s="170">
        <f t="shared" si="16"/>
        <v>1124847.315403827</v>
      </c>
      <c r="O44" s="170">
        <f t="shared" si="16"/>
        <v>1166685.9293481733</v>
      </c>
      <c r="P44" s="172">
        <f t="shared" si="16"/>
        <v>1210573.1455596373</v>
      </c>
    </row>
    <row r="45" spans="1:16" x14ac:dyDescent="0.2">
      <c r="A45" s="211" t="s">
        <v>119</v>
      </c>
      <c r="B45" s="229"/>
      <c r="C45" s="230">
        <f>Assumptions!C45</f>
        <v>11194</v>
      </c>
      <c r="D45" s="230">
        <f>Assumptions!D45</f>
        <v>0</v>
      </c>
      <c r="E45" s="130">
        <f>Assumptions!E45</f>
        <v>72100</v>
      </c>
      <c r="F45" s="219"/>
      <c r="G45" s="130"/>
      <c r="H45" s="130"/>
      <c r="I45" s="130"/>
      <c r="J45" s="163"/>
      <c r="K45" s="130"/>
      <c r="L45" s="130"/>
      <c r="M45" s="130"/>
      <c r="N45" s="130"/>
      <c r="O45" s="130"/>
      <c r="P45" s="130"/>
    </row>
    <row r="46" spans="1:16" x14ac:dyDescent="0.2">
      <c r="A46" s="211" t="s">
        <v>19</v>
      </c>
      <c r="B46" s="229"/>
      <c r="C46" s="230">
        <f>Assumptions!C46</f>
        <v>46581</v>
      </c>
      <c r="D46" s="230">
        <f>Assumptions!D46</f>
        <v>0</v>
      </c>
      <c r="E46" s="130">
        <f>Assumptions!E46</f>
        <v>0</v>
      </c>
      <c r="F46" s="219"/>
      <c r="G46" s="130"/>
      <c r="H46" s="130"/>
      <c r="I46" s="130"/>
      <c r="J46" s="163"/>
      <c r="K46" s="130"/>
      <c r="L46" s="130"/>
      <c r="M46" s="130"/>
      <c r="N46" s="130"/>
      <c r="O46" s="130"/>
      <c r="P46" s="130"/>
    </row>
    <row r="47" spans="1:16" ht="13.5" thickBot="1" x14ac:dyDescent="0.25">
      <c r="C47" s="230"/>
      <c r="D47" s="230"/>
      <c r="E47" s="130"/>
      <c r="F47" s="219"/>
      <c r="J47" s="224"/>
    </row>
    <row r="48" spans="1:16" ht="13.5" thickBot="1" x14ac:dyDescent="0.25">
      <c r="A48" s="211" t="s">
        <v>195</v>
      </c>
      <c r="B48" s="213">
        <f>B26-B44</f>
        <v>-20818</v>
      </c>
      <c r="C48" s="230">
        <f>Assumptions!C48</f>
        <v>0</v>
      </c>
      <c r="D48" s="230"/>
      <c r="E48" s="130">
        <f>Assumptions!E48</f>
        <v>0</v>
      </c>
      <c r="F48" s="219" t="s">
        <v>202</v>
      </c>
      <c r="G48" s="173">
        <f t="shared" ref="G48:P48" si="17">G26-G44</f>
        <v>0</v>
      </c>
      <c r="H48" s="174">
        <f t="shared" si="17"/>
        <v>0</v>
      </c>
      <c r="I48" s="174">
        <f t="shared" si="17"/>
        <v>0</v>
      </c>
      <c r="J48" s="175">
        <f t="shared" si="17"/>
        <v>0</v>
      </c>
      <c r="K48" s="174">
        <f t="shared" si="17"/>
        <v>0</v>
      </c>
      <c r="L48" s="174">
        <f t="shared" si="17"/>
        <v>0</v>
      </c>
      <c r="M48" s="174">
        <f t="shared" si="17"/>
        <v>0</v>
      </c>
      <c r="N48" s="174">
        <f t="shared" si="17"/>
        <v>0</v>
      </c>
      <c r="O48" s="174">
        <f t="shared" si="17"/>
        <v>0</v>
      </c>
      <c r="P48" s="176">
        <f t="shared" si="17"/>
        <v>0</v>
      </c>
    </row>
    <row r="49" spans="1:16" ht="13.5" thickBot="1" x14ac:dyDescent="0.25">
      <c r="C49" s="230"/>
      <c r="D49" s="230"/>
      <c r="E49" s="130"/>
      <c r="F49" s="219"/>
      <c r="G49" s="155"/>
      <c r="H49" s="155"/>
      <c r="I49" s="155"/>
      <c r="J49" s="224"/>
      <c r="K49" s="155"/>
      <c r="L49" s="155"/>
      <c r="M49" s="155"/>
      <c r="N49" s="155"/>
      <c r="O49" s="155"/>
      <c r="P49" s="155"/>
    </row>
    <row r="50" spans="1:16" ht="13.5" thickBot="1" x14ac:dyDescent="0.25">
      <c r="A50" s="211" t="s">
        <v>204</v>
      </c>
      <c r="C50" s="230"/>
      <c r="D50" s="230"/>
      <c r="E50" s="130"/>
      <c r="F50" s="219"/>
      <c r="G50" s="233">
        <f t="shared" ref="G50:P50" si="18">SUM(G29:G30)-G44</f>
        <v>1341.1025000001537</v>
      </c>
      <c r="H50" s="177">
        <f t="shared" si="18"/>
        <v>2518.1030937501928</v>
      </c>
      <c r="I50" s="177">
        <f t="shared" si="18"/>
        <v>3496.9782780781388</v>
      </c>
      <c r="J50" s="178">
        <f t="shared" si="18"/>
        <v>4242.1964546729578</v>
      </c>
      <c r="K50" s="177">
        <f t="shared" si="18"/>
        <v>4714.394173538778</v>
      </c>
      <c r="L50" s="177">
        <f t="shared" si="18"/>
        <v>4870.0246039872291</v>
      </c>
      <c r="M50" s="177">
        <f t="shared" si="18"/>
        <v>4660.9759321906604</v>
      </c>
      <c r="N50" s="177">
        <f t="shared" si="18"/>
        <v>4034.1571969564538</v>
      </c>
      <c r="O50" s="177">
        <f t="shared" si="18"/>
        <v>2931.0488728797063</v>
      </c>
      <c r="P50" s="179">
        <f t="shared" si="18"/>
        <v>1287.2152911927551</v>
      </c>
    </row>
    <row r="51" spans="1:16" x14ac:dyDescent="0.2">
      <c r="C51" s="230"/>
      <c r="D51" s="230"/>
      <c r="E51" s="130"/>
      <c r="F51" s="219" t="s">
        <v>181</v>
      </c>
      <c r="G51" s="155"/>
      <c r="H51" s="155"/>
      <c r="I51" s="155"/>
      <c r="J51" s="224"/>
      <c r="K51" s="155"/>
      <c r="L51" s="155"/>
      <c r="M51" s="155"/>
      <c r="N51" s="155"/>
      <c r="O51" s="155"/>
      <c r="P51" s="155"/>
    </row>
    <row r="52" spans="1:16" ht="13.5" thickBot="1" x14ac:dyDescent="0.25">
      <c r="A52" s="211" t="s">
        <v>196</v>
      </c>
      <c r="C52" s="230"/>
      <c r="D52" s="230"/>
      <c r="E52" s="130"/>
      <c r="F52" s="219"/>
      <c r="G52" s="155"/>
      <c r="H52" s="155"/>
      <c r="I52" s="155"/>
      <c r="J52" s="224"/>
      <c r="K52" s="155"/>
      <c r="L52" s="155"/>
      <c r="M52" s="155"/>
      <c r="N52" s="155"/>
      <c r="O52" s="155"/>
      <c r="P52" s="155"/>
    </row>
    <row r="53" spans="1:16" x14ac:dyDescent="0.2">
      <c r="A53" s="211" t="s">
        <v>6</v>
      </c>
      <c r="C53" s="230">
        <f>Assumptions!C53</f>
        <v>1654000</v>
      </c>
      <c r="D53" s="230">
        <f>Assumptions!D53</f>
        <v>1684667</v>
      </c>
      <c r="E53" s="130">
        <f>Assumptions!E53</f>
        <v>1823127.6900000002</v>
      </c>
      <c r="F53" s="219" t="s">
        <v>202</v>
      </c>
      <c r="G53" s="180">
        <f>E58</f>
        <v>1959640.6283000002</v>
      </c>
      <c r="H53" s="181">
        <f>G58</f>
        <v>2274391.9022810003</v>
      </c>
      <c r="I53" s="181">
        <f t="shared" ref="I53:P53" si="19">H58</f>
        <v>2708535.6575406701</v>
      </c>
      <c r="J53" s="182">
        <f t="shared" si="19"/>
        <v>3075098.536675517</v>
      </c>
      <c r="K53" s="181">
        <f t="shared" si="19"/>
        <v>3210001.9959166935</v>
      </c>
      <c r="L53" s="181">
        <f t="shared" si="19"/>
        <v>3433258.5214664461</v>
      </c>
      <c r="M53" s="181">
        <f t="shared" si="19"/>
        <v>3568214.538457619</v>
      </c>
      <c r="N53" s="181">
        <f t="shared" si="19"/>
        <v>3705589.6592166536</v>
      </c>
      <c r="O53" s="181">
        <f t="shared" si="19"/>
        <v>3845084.7908831085</v>
      </c>
      <c r="P53" s="183">
        <f t="shared" si="19"/>
        <v>3986337.6967864167</v>
      </c>
    </row>
    <row r="54" spans="1:16" hidden="1" outlineLevel="1" x14ac:dyDescent="0.2">
      <c r="A54" s="211" t="s">
        <v>252</v>
      </c>
      <c r="C54" s="230">
        <f>Assumptions!C54</f>
        <v>52043</v>
      </c>
      <c r="D54" s="230">
        <f>Assumptions!D54</f>
        <v>52000</v>
      </c>
      <c r="E54" s="130">
        <f>Assumptions!E54</f>
        <v>80000</v>
      </c>
      <c r="F54" s="219">
        <f>Assumptions!E54</f>
        <v>80000</v>
      </c>
      <c r="G54" s="208">
        <f>Assumptions!F54</f>
        <v>253600</v>
      </c>
      <c r="H54" s="208">
        <f>Assumptions!G54</f>
        <v>356160</v>
      </c>
      <c r="I54" s="208">
        <f>Assumptions!H54</f>
        <v>263696</v>
      </c>
      <c r="J54" s="208">
        <f>Assumptions!I54</f>
        <v>12217.6</v>
      </c>
      <c r="K54" s="208">
        <f>Assumptions!J54</f>
        <v>97330.559999999998</v>
      </c>
      <c r="L54" s="208">
        <v>0</v>
      </c>
      <c r="M54" s="208">
        <v>0</v>
      </c>
      <c r="N54" s="208">
        <v>0</v>
      </c>
      <c r="O54" s="208">
        <v>0</v>
      </c>
      <c r="P54" s="208">
        <v>0</v>
      </c>
    </row>
    <row r="55" spans="1:16" hidden="1" outlineLevel="1" x14ac:dyDescent="0.2">
      <c r="A55" s="211" t="s">
        <v>20</v>
      </c>
      <c r="C55" s="230">
        <f>Assumptions!C55</f>
        <v>132320</v>
      </c>
      <c r="D55" s="230">
        <f>Assumptions!D55</f>
        <v>134773.36000000002</v>
      </c>
      <c r="E55" s="130">
        <f>Assumptions!E55</f>
        <v>145850.21520000001</v>
      </c>
      <c r="F55" s="219">
        <f>Assumptions!F62</f>
        <v>0.08</v>
      </c>
      <c r="G55" s="162">
        <f>G$53*($F55)</f>
        <v>156771.25026400003</v>
      </c>
      <c r="H55" s="130">
        <f>H$53*($F55)</f>
        <v>181951.35218248001</v>
      </c>
      <c r="I55" s="130">
        <f>I$53*($F55)</f>
        <v>216682.85260325362</v>
      </c>
      <c r="J55" s="130">
        <f t="shared" ref="J55:P55" si="20">J$53*($F55)</f>
        <v>246007.88293404135</v>
      </c>
      <c r="K55" s="130">
        <f t="shared" si="20"/>
        <v>256800.1596733355</v>
      </c>
      <c r="L55" s="130">
        <f t="shared" si="20"/>
        <v>274660.68171731569</v>
      </c>
      <c r="M55" s="130">
        <f t="shared" si="20"/>
        <v>285457.16307660955</v>
      </c>
      <c r="N55" s="130">
        <f t="shared" si="20"/>
        <v>296447.17273733229</v>
      </c>
      <c r="O55" s="130">
        <f t="shared" si="20"/>
        <v>307606.78327064868</v>
      </c>
      <c r="P55" s="164">
        <f t="shared" si="20"/>
        <v>318907.01574291335</v>
      </c>
    </row>
    <row r="56" spans="1:16" hidden="1" outlineLevel="1" x14ac:dyDescent="0.2">
      <c r="A56" s="211" t="s">
        <v>198</v>
      </c>
      <c r="C56" s="230">
        <f>Assumptions!C56</f>
        <v>137156</v>
      </c>
      <c r="D56" s="230">
        <f>Assumptions!D56</f>
        <v>31466</v>
      </c>
      <c r="E56" s="130">
        <f>Assumptions!E56</f>
        <v>71106</v>
      </c>
      <c r="G56" s="162">
        <f>SUM(G44:G46)-(SUM(G14:G24)-G19)</f>
        <v>76023.569999999949</v>
      </c>
      <c r="H56" s="130">
        <f t="shared" ref="H56:P56" si="21">SUM(H44:H46)-(SUM(H14:H24)-H19)</f>
        <v>81223.67790000001</v>
      </c>
      <c r="I56" s="130">
        <f t="shared" si="21"/>
        <v>86730.616893000086</v>
      </c>
      <c r="J56" s="163">
        <f t="shared" si="21"/>
        <v>92571.038326109992</v>
      </c>
      <c r="K56" s="130">
        <f t="shared" si="21"/>
        <v>98774.174164415803</v>
      </c>
      <c r="L56" s="130">
        <f t="shared" si="21"/>
        <v>105372.07951147819</v>
      </c>
      <c r="M56" s="130">
        <f t="shared" si="21"/>
        <v>112399.89693299867</v>
      </c>
      <c r="N56" s="130">
        <f t="shared" si="21"/>
        <v>119896.14447871048</v>
      </c>
      <c r="O56" s="130">
        <f t="shared" si="21"/>
        <v>127903.02945850964</v>
      </c>
      <c r="P56" s="164">
        <f t="shared" si="21"/>
        <v>136466.79020327004</v>
      </c>
    </row>
    <row r="57" spans="1:16" hidden="1" outlineLevel="1" x14ac:dyDescent="0.2">
      <c r="A57" s="211" t="s">
        <v>102</v>
      </c>
      <c r="C57" s="230">
        <f>Assumptions!C57</f>
        <v>16540</v>
      </c>
      <c r="D57" s="230">
        <f>Assumptions!D57</f>
        <v>16846.670000000002</v>
      </c>
      <c r="E57" s="130">
        <f>Assumptions!E57</f>
        <v>18231.276900000001</v>
      </c>
      <c r="F57" s="219" t="s">
        <v>202</v>
      </c>
      <c r="G57" s="162">
        <f>Assumptions!$E$63*G53</f>
        <v>19596.406283000004</v>
      </c>
      <c r="H57" s="130">
        <f>Assumptions!$E$63*H53</f>
        <v>22743.919022810001</v>
      </c>
      <c r="I57" s="130">
        <f>Assumptions!$E$63*I53</f>
        <v>27085.356575406702</v>
      </c>
      <c r="J57" s="163">
        <f>Assumptions!$E$63*J53</f>
        <v>30750.985366755169</v>
      </c>
      <c r="K57" s="130">
        <f>Assumptions!$E$63*K53</f>
        <v>32100.019959166937</v>
      </c>
      <c r="L57" s="130">
        <f>Assumptions!$E$63*L53</f>
        <v>34332.585214664461</v>
      </c>
      <c r="M57" s="130">
        <f>Assumptions!$E$63*M53</f>
        <v>35682.145384576193</v>
      </c>
      <c r="N57" s="130">
        <f>Assumptions!$E$63*N53</f>
        <v>37055.896592166537</v>
      </c>
      <c r="O57" s="130">
        <f>Assumptions!$E$63*O53</f>
        <v>38450.847908831085</v>
      </c>
      <c r="P57" s="164">
        <f>Assumptions!$E$63*P53</f>
        <v>39863.376967864169</v>
      </c>
    </row>
    <row r="58" spans="1:16" ht="13.5" collapsed="1" thickBot="1" x14ac:dyDescent="0.25">
      <c r="A58" s="211" t="s">
        <v>7</v>
      </c>
      <c r="B58" s="229">
        <v>1654000</v>
      </c>
      <c r="C58" s="230">
        <f>Assumptions!C58</f>
        <v>1684667</v>
      </c>
      <c r="D58" s="230">
        <f>Assumptions!D58</f>
        <v>1823127.6900000002</v>
      </c>
      <c r="E58" s="130">
        <f>Assumptions!E58</f>
        <v>1959640.6283000002</v>
      </c>
      <c r="F58" s="219" t="s">
        <v>202</v>
      </c>
      <c r="G58" s="162">
        <f t="shared" ref="G58:P58" si="22">SUM(G53:G55)-SUM(G56:G57)</f>
        <v>2274391.9022810003</v>
      </c>
      <c r="H58" s="130">
        <f t="shared" si="22"/>
        <v>2708535.6575406701</v>
      </c>
      <c r="I58" s="130">
        <f t="shared" si="22"/>
        <v>3075098.536675517</v>
      </c>
      <c r="J58" s="163">
        <f t="shared" si="22"/>
        <v>3210001.9959166935</v>
      </c>
      <c r="K58" s="130">
        <f t="shared" si="22"/>
        <v>3433258.5214664461</v>
      </c>
      <c r="L58" s="130">
        <f t="shared" si="22"/>
        <v>3568214.538457619</v>
      </c>
      <c r="M58" s="130">
        <f t="shared" si="22"/>
        <v>3705589.6592166536</v>
      </c>
      <c r="N58" s="130">
        <f t="shared" si="22"/>
        <v>3845084.7908831085</v>
      </c>
      <c r="O58" s="130">
        <f t="shared" si="22"/>
        <v>3986337.6967864167</v>
      </c>
      <c r="P58" s="164">
        <f t="shared" si="22"/>
        <v>4128914.5453581954</v>
      </c>
    </row>
    <row r="59" spans="1:16" x14ac:dyDescent="0.2">
      <c r="C59" s="230"/>
      <c r="D59" s="230"/>
      <c r="E59" s="130"/>
      <c r="F59" s="221"/>
      <c r="G59" s="181"/>
      <c r="H59" s="181"/>
      <c r="I59" s="181"/>
      <c r="J59" s="182"/>
      <c r="K59" s="181"/>
      <c r="L59" s="181"/>
      <c r="M59" s="181"/>
      <c r="N59" s="181"/>
      <c r="O59" s="181"/>
      <c r="P59" s="181"/>
    </row>
    <row r="60" spans="1:16" x14ac:dyDescent="0.2">
      <c r="C60" s="230"/>
      <c r="D60" s="230"/>
      <c r="E60" s="130"/>
      <c r="J60" s="224"/>
    </row>
    <row r="61" spans="1:16" ht="13.5" thickBot="1" x14ac:dyDescent="0.25">
      <c r="A61" s="211" t="s">
        <v>166</v>
      </c>
      <c r="C61" s="230"/>
      <c r="D61" s="230"/>
      <c r="J61" s="224"/>
    </row>
    <row r="62" spans="1:16" x14ac:dyDescent="0.2">
      <c r="A62" s="234" t="s">
        <v>167</v>
      </c>
      <c r="B62" s="235">
        <f>B16/B44</f>
        <v>8.3560275445053428E-2</v>
      </c>
      <c r="C62" s="235">
        <f>C16/C44</f>
        <v>8.5956814227929099E-2</v>
      </c>
      <c r="D62" s="235">
        <f>D16/D44</f>
        <v>7.9021607141446043E-2</v>
      </c>
      <c r="E62" s="236">
        <f>E16/E44</f>
        <v>7.4021332242987362E-2</v>
      </c>
      <c r="F62" s="135" t="s">
        <v>87</v>
      </c>
      <c r="G62" s="185">
        <f t="shared" ref="G62:P62" si="23">G16/G44</f>
        <v>7.2286317617854673E-2</v>
      </c>
      <c r="H62" s="186">
        <f t="shared" si="23"/>
        <v>7.0569506354625527E-2</v>
      </c>
      <c r="I62" s="186">
        <f t="shared" si="23"/>
        <v>6.8870817208306165E-2</v>
      </c>
      <c r="J62" s="187">
        <f t="shared" si="23"/>
        <v>6.7190194994978844E-2</v>
      </c>
      <c r="K62" s="186">
        <f t="shared" si="23"/>
        <v>6.5527611048836781E-2</v>
      </c>
      <c r="L62" s="186">
        <f t="shared" si="23"/>
        <v>6.3883063580798413E-2</v>
      </c>
      <c r="M62" s="186">
        <f t="shared" si="23"/>
        <v>6.2256577926078631E-2</v>
      </c>
      <c r="N62" s="186">
        <f t="shared" si="23"/>
        <v>6.0648206668011358E-2</v>
      </c>
      <c r="O62" s="186">
        <f t="shared" si="23"/>
        <v>5.9058029625513993E-2</v>
      </c>
      <c r="P62" s="188">
        <f t="shared" si="23"/>
        <v>5.7486153691881613E-2</v>
      </c>
    </row>
    <row r="63" spans="1:16" x14ac:dyDescent="0.2">
      <c r="A63" s="234" t="s">
        <v>168</v>
      </c>
      <c r="B63" s="235">
        <f>B11/B44</f>
        <v>6.9633562870877852E-2</v>
      </c>
      <c r="C63" s="235">
        <f>C11/C44</f>
        <v>8.3032160419685128E-2</v>
      </c>
      <c r="D63" s="235">
        <f>D11/D44</f>
        <v>8.5606741069899878E-2</v>
      </c>
      <c r="E63" s="236">
        <f>E11/E44</f>
        <v>7.6371215806256804E-2</v>
      </c>
      <c r="F63" s="135" t="s">
        <v>88</v>
      </c>
      <c r="G63" s="189">
        <f t="shared" ref="G63:P63" si="24">G11/G44</f>
        <v>7.5319548295831609E-2</v>
      </c>
      <c r="H63" s="190">
        <f t="shared" si="24"/>
        <v>7.4258724039471785E-2</v>
      </c>
      <c r="I63" s="190">
        <f t="shared" si="24"/>
        <v>7.3188768124665488E-2</v>
      </c>
      <c r="J63" s="191">
        <f t="shared" si="24"/>
        <v>7.2109735170612074E-2</v>
      </c>
      <c r="K63" s="190">
        <f t="shared" si="24"/>
        <v>7.1021711229873233E-2</v>
      </c>
      <c r="L63" s="190">
        <f t="shared" si="24"/>
        <v>6.992481565297412E-2</v>
      </c>
      <c r="M63" s="190">
        <f t="shared" si="24"/>
        <v>6.8819202896503742E-2</v>
      </c>
      <c r="N63" s="190">
        <f t="shared" si="24"/>
        <v>6.7705064253814881E-2</v>
      </c>
      <c r="O63" s="190">
        <f t="shared" si="24"/>
        <v>6.6582629486112488E-2</v>
      </c>
      <c r="P63" s="192">
        <f t="shared" si="24"/>
        <v>6.5452168330588367E-2</v>
      </c>
    </row>
    <row r="64" spans="1:16" x14ac:dyDescent="0.2">
      <c r="A64" s="234" t="s">
        <v>81</v>
      </c>
      <c r="B64" s="235">
        <f>B13/B44</f>
        <v>8.8624534562935453E-2</v>
      </c>
      <c r="C64" s="235">
        <f>C13/C44</f>
        <v>3.2316616665679213E-2</v>
      </c>
      <c r="D64" s="235">
        <f>D13/D44</f>
        <v>8.231417410567296E-2</v>
      </c>
      <c r="E64" s="236">
        <f>E13/E44</f>
        <v>0.12924359597981919</v>
      </c>
      <c r="F64" s="135" t="s">
        <v>89</v>
      </c>
      <c r="G64" s="189">
        <f t="shared" ref="G64:P64" si="25">G13/G44</f>
        <v>0.13121278775518175</v>
      </c>
      <c r="H64" s="190">
        <f t="shared" si="25"/>
        <v>0.13316959095446931</v>
      </c>
      <c r="I64" s="190">
        <f t="shared" si="25"/>
        <v>0.13511113672828506</v>
      </c>
      <c r="J64" s="191">
        <f t="shared" si="25"/>
        <v>0.13703444282833488</v>
      </c>
      <c r="K64" s="190">
        <f t="shared" si="25"/>
        <v>0.13893641779295543</v>
      </c>
      <c r="L64" s="190">
        <f t="shared" si="25"/>
        <v>0.14081386612370569</v>
      </c>
      <c r="M64" s="190">
        <f t="shared" si="25"/>
        <v>0.14266349450267543</v>
      </c>
      <c r="N64" s="190">
        <f t="shared" si="25"/>
        <v>0.14448191909357158</v>
      </c>
      <c r="O64" s="190">
        <f t="shared" si="25"/>
        <v>0.14626567396160908</v>
      </c>
      <c r="P64" s="192">
        <f t="shared" si="25"/>
        <v>0.14801122063771374</v>
      </c>
    </row>
    <row r="65" spans="1:16" x14ac:dyDescent="0.2">
      <c r="A65" s="234" t="s">
        <v>82</v>
      </c>
      <c r="B65" s="235">
        <f>B12/B44</f>
        <v>9.4954858460287977E-2</v>
      </c>
      <c r="C65" s="235">
        <f>C12/C44</f>
        <v>0.12256615480736603</v>
      </c>
      <c r="D65" s="235">
        <f>D12/D44</f>
        <v>0.17318902231833591</v>
      </c>
      <c r="E65" s="236">
        <f>E12/E44</f>
        <v>0.1532124083251675</v>
      </c>
      <c r="F65" s="135" t="s">
        <v>90</v>
      </c>
      <c r="G65" s="189">
        <f t="shared" ref="G65:P65" si="26">G12/G44</f>
        <v>0.15110260150425295</v>
      </c>
      <c r="H65" s="190">
        <f t="shared" si="26"/>
        <v>0.14897442484226342</v>
      </c>
      <c r="I65" s="190">
        <f t="shared" si="26"/>
        <v>0.14682792866855965</v>
      </c>
      <c r="J65" s="191">
        <f t="shared" si="26"/>
        <v>0.1446632225576587</v>
      </c>
      <c r="K65" s="190">
        <f t="shared" si="26"/>
        <v>0.14248047914423798</v>
      </c>
      <c r="L65" s="190">
        <f t="shared" si="26"/>
        <v>0.14027993786381265</v>
      </c>
      <c r="M65" s="190">
        <f t="shared" si="26"/>
        <v>0.13806190858006287</v>
      </c>
      <c r="N65" s="190">
        <f t="shared" si="26"/>
        <v>0.13582677505688398</v>
      </c>
      <c r="O65" s="190">
        <f t="shared" si="26"/>
        <v>0.13357499823060101</v>
      </c>
      <c r="P65" s="192">
        <f t="shared" si="26"/>
        <v>0.13130711923551877</v>
      </c>
    </row>
    <row r="66" spans="1:16" x14ac:dyDescent="0.2">
      <c r="A66" s="234" t="s">
        <v>208</v>
      </c>
      <c r="B66" s="235"/>
      <c r="C66" s="235">
        <f t="shared" ref="C66:E67" si="27">C20/C34</f>
        <v>0.63134461264470165</v>
      </c>
      <c r="D66" s="235">
        <f t="shared" si="27"/>
        <v>0.59678729506158512</v>
      </c>
      <c r="E66" s="236">
        <f t="shared" si="27"/>
        <v>0.85409720283166068</v>
      </c>
      <c r="F66" s="135" t="s">
        <v>91</v>
      </c>
      <c r="G66" s="189">
        <f>G20/G34</f>
        <v>0.85409720283166068</v>
      </c>
      <c r="H66" s="190">
        <f t="shared" ref="H66:P67" si="28">H20/H34</f>
        <v>0.85409720283166068</v>
      </c>
      <c r="I66" s="190">
        <f t="shared" si="28"/>
        <v>0.85409720283166068</v>
      </c>
      <c r="J66" s="191">
        <f t="shared" si="28"/>
        <v>0.85409720283166068</v>
      </c>
      <c r="K66" s="190">
        <f t="shared" si="28"/>
        <v>0.85409720283166068</v>
      </c>
      <c r="L66" s="190">
        <f t="shared" si="28"/>
        <v>0.85409720283166068</v>
      </c>
      <c r="M66" s="190">
        <f t="shared" si="28"/>
        <v>0.8540972028316608</v>
      </c>
      <c r="N66" s="190">
        <f t="shared" si="28"/>
        <v>0.8540972028316608</v>
      </c>
      <c r="O66" s="190">
        <f t="shared" si="28"/>
        <v>0.85409720283166057</v>
      </c>
      <c r="P66" s="192">
        <f t="shared" si="28"/>
        <v>0.85409720283166057</v>
      </c>
    </row>
    <row r="67" spans="1:16" x14ac:dyDescent="0.2">
      <c r="A67" s="234" t="s">
        <v>83</v>
      </c>
      <c r="B67" s="235"/>
      <c r="C67" s="235">
        <f t="shared" si="27"/>
        <v>0.92904528003613374</v>
      </c>
      <c r="D67" s="235">
        <f t="shared" si="27"/>
        <v>1.2139302013026334</v>
      </c>
      <c r="E67" s="236">
        <f t="shared" si="27"/>
        <v>1.0227272727272727</v>
      </c>
      <c r="F67" s="135" t="s">
        <v>92</v>
      </c>
      <c r="G67" s="189">
        <f>G21/G35</f>
        <v>1.0227272727272727</v>
      </c>
      <c r="H67" s="190">
        <f t="shared" si="28"/>
        <v>1.0227272727272729</v>
      </c>
      <c r="I67" s="190">
        <f t="shared" si="28"/>
        <v>1.0227272727272729</v>
      </c>
      <c r="J67" s="191">
        <f t="shared" si="28"/>
        <v>1.0227272727272727</v>
      </c>
      <c r="K67" s="190">
        <f t="shared" si="28"/>
        <v>1.0227272727272727</v>
      </c>
      <c r="L67" s="190">
        <f t="shared" si="28"/>
        <v>1.0227272727272727</v>
      </c>
      <c r="M67" s="190">
        <f t="shared" si="28"/>
        <v>1.0227272727272727</v>
      </c>
      <c r="N67" s="190">
        <f t="shared" si="28"/>
        <v>1.0227272727272727</v>
      </c>
      <c r="O67" s="190">
        <f t="shared" si="28"/>
        <v>1.0227272727272727</v>
      </c>
      <c r="P67" s="192">
        <f t="shared" si="28"/>
        <v>1.0227272727272729</v>
      </c>
    </row>
    <row r="68" spans="1:16" x14ac:dyDescent="0.2">
      <c r="A68" s="234" t="s">
        <v>209</v>
      </c>
      <c r="B68" s="235"/>
      <c r="C68" s="235">
        <f>C17/C36</f>
        <v>1.3167920047496537</v>
      </c>
      <c r="D68" s="235">
        <f>D17/D36</f>
        <v>1.3042811109406169</v>
      </c>
      <c r="E68" s="236">
        <f>E17/E36</f>
        <v>1.2993545142090703</v>
      </c>
      <c r="F68" s="135" t="s">
        <v>93</v>
      </c>
      <c r="G68" s="189">
        <f>G17/G36</f>
        <v>1.3498148836929176</v>
      </c>
      <c r="H68" s="190">
        <f t="shared" ref="H68:P68" si="29">H17/H36</f>
        <v>1.4022348791761376</v>
      </c>
      <c r="I68" s="190">
        <f t="shared" si="29"/>
        <v>1.456690602639289</v>
      </c>
      <c r="J68" s="191">
        <f t="shared" si="29"/>
        <v>1.5132611114796497</v>
      </c>
      <c r="K68" s="190">
        <f t="shared" si="29"/>
        <v>1.5720285332846846</v>
      </c>
      <c r="L68" s="190">
        <f t="shared" si="29"/>
        <v>1.6330781850627307</v>
      </c>
      <c r="M68" s="190">
        <f t="shared" si="29"/>
        <v>1.6964986971040017</v>
      </c>
      <c r="N68" s="190">
        <f t="shared" si="29"/>
        <v>1.76238214165173</v>
      </c>
      <c r="O68" s="190">
        <f t="shared" si="29"/>
        <v>1.8308241665702438</v>
      </c>
      <c r="P68" s="192">
        <f t="shared" si="29"/>
        <v>1.9019241342040398</v>
      </c>
    </row>
    <row r="69" spans="1:16" x14ac:dyDescent="0.2">
      <c r="A69" s="234" t="s">
        <v>85</v>
      </c>
      <c r="B69" s="235">
        <f>B43/B26</f>
        <v>4.4601583031113182E-2</v>
      </c>
      <c r="C69" s="235">
        <f>C43/C26</f>
        <v>0.10522021081206272</v>
      </c>
      <c r="D69" s="235">
        <f>D43/D26</f>
        <v>0.11448269848783039</v>
      </c>
      <c r="E69" s="236">
        <f>E43/E26</f>
        <v>0.13363905318491467</v>
      </c>
      <c r="F69" s="135" t="s">
        <v>94</v>
      </c>
      <c r="G69" s="189">
        <f t="shared" ref="G69:P69" si="30">G43/G26</f>
        <v>0.13955165010759393</v>
      </c>
      <c r="H69" s="190">
        <f t="shared" si="30"/>
        <v>0.14567946425527997</v>
      </c>
      <c r="I69" s="190">
        <f t="shared" si="30"/>
        <v>0.15202635192083955</v>
      </c>
      <c r="J69" s="191">
        <f t="shared" si="30"/>
        <v>0.15859588730663754</v>
      </c>
      <c r="K69" s="190">
        <f t="shared" si="30"/>
        <v>0.16539132876888232</v>
      </c>
      <c r="L69" s="190">
        <f t="shared" si="30"/>
        <v>0.1724155841932602</v>
      </c>
      <c r="M69" s="190">
        <f t="shared" si="30"/>
        <v>0.17967117571471156</v>
      </c>
      <c r="N69" s="190">
        <f t="shared" si="30"/>
        <v>0.18716020402474912</v>
      </c>
      <c r="O69" s="190">
        <f t="shared" si="30"/>
        <v>0.19488431254032193</v>
      </c>
      <c r="P69" s="192">
        <f t="shared" si="30"/>
        <v>0.20284465173831748</v>
      </c>
    </row>
    <row r="70" spans="1:16" ht="13.5" thickBot="1" x14ac:dyDescent="0.25">
      <c r="A70" s="234" t="s">
        <v>86</v>
      </c>
      <c r="B70" s="235">
        <f>B42/B26</f>
        <v>7.4076337624881181E-2</v>
      </c>
      <c r="C70" s="235">
        <f>C42/C26</f>
        <v>0.17738994845499642</v>
      </c>
      <c r="D70" s="235">
        <f>D42/D26</f>
        <v>0.14776786826436811</v>
      </c>
      <c r="E70" s="236">
        <f>E42/E26</f>
        <v>0.10761526766348728</v>
      </c>
      <c r="F70" s="135" t="s">
        <v>95</v>
      </c>
      <c r="G70" s="193">
        <f t="shared" ref="G70:P70" si="31">G42/G26</f>
        <v>0.10613335488479705</v>
      </c>
      <c r="H70" s="194">
        <f t="shared" si="31"/>
        <v>0.10463853926497385</v>
      </c>
      <c r="I70" s="194">
        <f t="shared" si="31"/>
        <v>0.10313085615499015</v>
      </c>
      <c r="J70" s="195">
        <f t="shared" si="31"/>
        <v>0.10161038251918002</v>
      </c>
      <c r="K70" s="194">
        <f t="shared" si="31"/>
        <v>0.10007723961486999</v>
      </c>
      <c r="L70" s="194">
        <f t="shared" si="31"/>
        <v>9.8531595619803153E-2</v>
      </c>
      <c r="M70" s="194">
        <f t="shared" si="31"/>
        <v>9.6973668179947237E-2</v>
      </c>
      <c r="N70" s="194">
        <f t="shared" si="31"/>
        <v>9.54037268482371E-2</v>
      </c>
      <c r="O70" s="194">
        <f t="shared" si="31"/>
        <v>9.3822095382954065E-2</v>
      </c>
      <c r="P70" s="196">
        <f t="shared" si="31"/>
        <v>9.2229153872849981E-2</v>
      </c>
    </row>
    <row r="71" spans="1:16" x14ac:dyDescent="0.2">
      <c r="C71" s="235"/>
      <c r="D71" s="235"/>
      <c r="E71" s="236"/>
    </row>
  </sheetData>
  <phoneticPr fontId="13" type="noConversion"/>
  <pageMargins left="0.75" right="0.75" top="1" bottom="1" header="0.5" footer="0.5"/>
  <headerFooter alignWithMargins="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1"/>
  <sheetViews>
    <sheetView workbookViewId="0"/>
  </sheetViews>
  <sheetFormatPr defaultColWidth="9.140625" defaultRowHeight="12.75" x14ac:dyDescent="0.2"/>
  <cols>
    <col min="1" max="2" width="9.140625" style="22"/>
    <col min="3" max="3" width="28" style="22" customWidth="1"/>
    <col min="4" max="4" width="9.140625" style="59"/>
    <col min="5" max="5" width="12" style="22" customWidth="1"/>
    <col min="6" max="6" width="10.85546875" style="22" customWidth="1"/>
    <col min="7" max="10" width="10.140625" style="22" bestFit="1" customWidth="1"/>
    <col min="11" max="11" width="2.140625" style="22" customWidth="1"/>
    <col min="12" max="12" width="15.7109375" style="22" customWidth="1"/>
    <col min="13" max="14" width="8.85546875" style="22" customWidth="1"/>
    <col min="15" max="15" width="7.5703125" style="22" customWidth="1"/>
    <col min="16" max="16" width="10.7109375" style="159" customWidth="1"/>
    <col min="17" max="18" width="9.140625" style="159"/>
    <col min="19" max="19" width="1.5703125" style="159" customWidth="1"/>
    <col min="20" max="20" width="9.85546875" style="160" customWidth="1"/>
    <col min="21" max="23" width="9.85546875" style="161" customWidth="1"/>
    <col min="24" max="24" width="9.7109375" style="161" bestFit="1" customWidth="1"/>
    <col min="25" max="26" width="9.7109375" style="161" customWidth="1"/>
    <col min="27" max="16384" width="9.140625" style="22"/>
  </cols>
  <sheetData>
    <row r="1" spans="1:28" x14ac:dyDescent="0.2">
      <c r="A1" s="22" t="s">
        <v>222</v>
      </c>
      <c r="K1" s="60"/>
      <c r="L1" s="23"/>
      <c r="M1" s="23"/>
      <c r="N1" s="23"/>
      <c r="O1" s="23"/>
      <c r="P1" s="61"/>
      <c r="Q1" s="61"/>
      <c r="R1" s="61"/>
      <c r="S1" s="61"/>
      <c r="T1" s="62"/>
      <c r="U1" s="23"/>
      <c r="V1" s="23"/>
      <c r="W1" s="23"/>
      <c r="X1" s="23"/>
      <c r="Y1" s="23"/>
      <c r="Z1" s="23"/>
      <c r="AA1" s="17"/>
      <c r="AB1" s="17"/>
    </row>
    <row r="2" spans="1:28" x14ac:dyDescent="0.2">
      <c r="A2" s="17" t="s">
        <v>170</v>
      </c>
      <c r="B2" s="17"/>
      <c r="C2" s="17"/>
      <c r="D2" s="21"/>
      <c r="E2" s="17"/>
      <c r="F2" s="17"/>
      <c r="G2" s="17"/>
      <c r="H2" s="17"/>
      <c r="I2" s="17"/>
      <c r="J2" s="17"/>
      <c r="K2" s="60"/>
      <c r="L2" s="23"/>
      <c r="M2" s="23"/>
      <c r="N2" s="23"/>
      <c r="O2" s="23"/>
      <c r="P2" s="61"/>
      <c r="Q2" s="61"/>
      <c r="R2" s="61"/>
      <c r="S2" s="61"/>
      <c r="T2" s="62"/>
      <c r="U2" s="23"/>
      <c r="V2" s="23"/>
      <c r="W2" s="23"/>
      <c r="X2" s="23"/>
      <c r="Y2" s="23"/>
      <c r="Z2" s="23"/>
      <c r="AA2" s="17"/>
      <c r="AB2" s="17"/>
    </row>
    <row r="3" spans="1:28" x14ac:dyDescent="0.2">
      <c r="A3" s="17" t="s">
        <v>56</v>
      </c>
      <c r="B3" s="17"/>
      <c r="C3" s="17"/>
      <c r="D3" s="21"/>
      <c r="E3" s="17"/>
      <c r="F3" s="17"/>
      <c r="G3" s="17"/>
      <c r="H3" s="17"/>
      <c r="I3" s="17"/>
      <c r="J3" s="17"/>
      <c r="K3" s="60"/>
      <c r="L3" s="17"/>
      <c r="M3" s="17"/>
      <c r="N3" s="17"/>
      <c r="O3" s="17"/>
      <c r="P3" s="61"/>
      <c r="Q3" s="63" t="s">
        <v>179</v>
      </c>
      <c r="R3" s="61"/>
      <c r="S3" s="61"/>
      <c r="T3" s="62"/>
      <c r="U3" s="23"/>
      <c r="V3" s="23"/>
      <c r="W3" s="23"/>
      <c r="X3" s="23"/>
      <c r="Y3" s="23"/>
      <c r="Z3" s="23"/>
      <c r="AA3" s="17"/>
      <c r="AB3" s="17"/>
    </row>
    <row r="4" spans="1:28" ht="13.5" thickBot="1" x14ac:dyDescent="0.25">
      <c r="A4" s="17" t="s">
        <v>137</v>
      </c>
      <c r="B4" s="17"/>
      <c r="C4" s="17"/>
      <c r="D4" s="21"/>
      <c r="E4" s="17"/>
      <c r="F4" s="17"/>
      <c r="G4" s="17"/>
      <c r="H4" s="17"/>
      <c r="I4" s="17"/>
      <c r="J4" s="17"/>
      <c r="K4" s="60"/>
      <c r="L4" s="17"/>
      <c r="M4" s="17"/>
      <c r="N4" s="17"/>
      <c r="O4" s="17"/>
      <c r="P4" s="61"/>
      <c r="Q4" s="63" t="s">
        <v>52</v>
      </c>
      <c r="R4" s="61"/>
      <c r="S4" s="61"/>
      <c r="T4" s="62"/>
      <c r="U4" s="64"/>
      <c r="V4" s="64" t="s">
        <v>112</v>
      </c>
      <c r="W4" s="64"/>
      <c r="X4" s="65"/>
      <c r="Y4" s="64" t="s">
        <v>151</v>
      </c>
      <c r="Z4" s="64"/>
      <c r="AA4" s="17"/>
      <c r="AB4" s="17"/>
    </row>
    <row r="5" spans="1:28" ht="13.5" thickTop="1" x14ac:dyDescent="0.2">
      <c r="A5" s="17"/>
      <c r="B5" s="17"/>
      <c r="C5" s="17"/>
      <c r="D5" s="21"/>
      <c r="E5" s="17"/>
      <c r="F5" s="17"/>
      <c r="G5" s="17"/>
      <c r="H5" s="17"/>
      <c r="I5" s="17"/>
      <c r="J5" s="17"/>
      <c r="K5" s="60"/>
      <c r="L5" s="18" t="s">
        <v>66</v>
      </c>
      <c r="M5" s="17"/>
      <c r="N5" s="17"/>
      <c r="O5" s="17"/>
      <c r="P5" s="66" t="s">
        <v>60</v>
      </c>
      <c r="Q5" s="67"/>
      <c r="R5" s="67"/>
      <c r="S5" s="47"/>
      <c r="T5" s="62" t="s">
        <v>113</v>
      </c>
      <c r="U5" s="68" t="s">
        <v>60</v>
      </c>
      <c r="V5" s="69"/>
      <c r="W5" s="70"/>
      <c r="X5" s="71" t="s">
        <v>60</v>
      </c>
      <c r="Y5" s="69"/>
      <c r="Z5" s="72"/>
      <c r="AA5" s="17"/>
      <c r="AB5" s="17"/>
    </row>
    <row r="6" spans="1:28" x14ac:dyDescent="0.2">
      <c r="A6" s="17" t="s">
        <v>57</v>
      </c>
      <c r="B6" s="17"/>
      <c r="C6" s="17"/>
      <c r="D6" s="21"/>
      <c r="E6" s="17"/>
      <c r="F6" s="17"/>
      <c r="G6" s="17"/>
      <c r="H6" s="17"/>
      <c r="I6" s="17"/>
      <c r="J6" s="17"/>
      <c r="K6" s="60"/>
      <c r="L6" s="17"/>
      <c r="M6" s="17"/>
      <c r="N6" s="17"/>
      <c r="O6" s="17"/>
      <c r="P6" s="43" t="s">
        <v>61</v>
      </c>
      <c r="Q6" s="73" t="s">
        <v>58</v>
      </c>
      <c r="R6" s="73" t="s">
        <v>59</v>
      </c>
      <c r="S6" s="47"/>
      <c r="T6" s="74" t="s">
        <v>216</v>
      </c>
      <c r="U6" s="75" t="s">
        <v>61</v>
      </c>
      <c r="V6" s="44" t="s">
        <v>58</v>
      </c>
      <c r="W6" s="47" t="s">
        <v>59</v>
      </c>
      <c r="X6" s="43" t="s">
        <v>61</v>
      </c>
      <c r="Y6" s="44" t="s">
        <v>58</v>
      </c>
      <c r="Z6" s="76" t="s">
        <v>59</v>
      </c>
      <c r="AA6" s="17"/>
      <c r="AB6" s="17"/>
    </row>
    <row r="7" spans="1:28" x14ac:dyDescent="0.2">
      <c r="A7" s="17"/>
      <c r="B7" s="17"/>
      <c r="C7" s="17"/>
      <c r="D7" s="21"/>
      <c r="E7" s="17"/>
      <c r="F7" s="17"/>
      <c r="G7" s="17"/>
      <c r="H7" s="17"/>
      <c r="I7" s="17"/>
      <c r="J7" s="17"/>
      <c r="K7" s="60"/>
      <c r="L7" s="77" t="s">
        <v>177</v>
      </c>
      <c r="M7" s="78"/>
      <c r="N7" s="78"/>
      <c r="O7" s="78"/>
      <c r="P7" s="79"/>
      <c r="Q7" s="80"/>
      <c r="R7" s="80"/>
      <c r="S7" s="81"/>
      <c r="T7" s="82"/>
      <c r="U7" s="84"/>
      <c r="V7" s="85"/>
      <c r="W7" s="83"/>
      <c r="X7" s="86"/>
      <c r="Y7" s="85"/>
      <c r="Z7" s="87"/>
      <c r="AA7" s="17"/>
      <c r="AB7" s="17"/>
    </row>
    <row r="8" spans="1:28" x14ac:dyDescent="0.2">
      <c r="A8" s="88" t="s">
        <v>38</v>
      </c>
      <c r="B8" s="88"/>
      <c r="C8" s="88"/>
      <c r="D8" s="89" t="s">
        <v>37</v>
      </c>
      <c r="E8" s="90"/>
      <c r="F8" s="91" t="s">
        <v>218</v>
      </c>
      <c r="G8" s="92"/>
      <c r="H8" s="90"/>
      <c r="I8" s="91" t="s">
        <v>217</v>
      </c>
      <c r="J8" s="93"/>
      <c r="K8" s="60"/>
      <c r="L8" s="18"/>
      <c r="M8" s="17"/>
      <c r="N8" s="17"/>
      <c r="O8" s="17"/>
      <c r="P8" s="94"/>
      <c r="Q8" s="95"/>
      <c r="R8" s="95"/>
      <c r="S8" s="96"/>
      <c r="T8" s="62"/>
      <c r="U8" s="97"/>
      <c r="V8" s="98"/>
      <c r="W8" s="99"/>
      <c r="X8" s="100"/>
      <c r="Y8" s="98"/>
      <c r="Z8" s="101"/>
      <c r="AA8" s="17"/>
      <c r="AB8" s="17"/>
    </row>
    <row r="9" spans="1:28" x14ac:dyDescent="0.2">
      <c r="A9" s="78"/>
      <c r="B9" s="78"/>
      <c r="C9" s="78"/>
      <c r="D9" s="102"/>
      <c r="E9" s="78" t="s">
        <v>62</v>
      </c>
      <c r="F9" s="103" t="s">
        <v>63</v>
      </c>
      <c r="G9" s="78" t="s">
        <v>59</v>
      </c>
      <c r="H9" s="104" t="s">
        <v>62</v>
      </c>
      <c r="I9" s="103" t="s">
        <v>63</v>
      </c>
      <c r="J9" s="78" t="s">
        <v>59</v>
      </c>
      <c r="K9" s="60"/>
      <c r="L9" s="18" t="s">
        <v>187</v>
      </c>
      <c r="M9" s="18"/>
      <c r="N9" s="17"/>
      <c r="O9" s="17"/>
      <c r="P9" s="105"/>
      <c r="Q9" s="95"/>
      <c r="R9" s="95"/>
      <c r="S9" s="96"/>
      <c r="T9" s="62"/>
      <c r="U9" s="106"/>
      <c r="V9" s="107"/>
      <c r="W9" s="108"/>
      <c r="X9" s="105"/>
      <c r="Y9" s="107"/>
      <c r="Z9" s="109"/>
      <c r="AA9" s="17"/>
      <c r="AB9" s="17"/>
    </row>
    <row r="10" spans="1:28" x14ac:dyDescent="0.2">
      <c r="A10" s="17"/>
      <c r="B10" s="17"/>
      <c r="C10" s="17"/>
      <c r="D10" s="110"/>
      <c r="E10" s="17"/>
      <c r="F10" s="111"/>
      <c r="G10" s="17"/>
      <c r="H10" s="112"/>
      <c r="I10" s="111"/>
      <c r="J10" s="17"/>
      <c r="K10" s="60"/>
      <c r="L10" s="18" t="s">
        <v>171</v>
      </c>
      <c r="M10" s="18"/>
      <c r="N10" s="17"/>
      <c r="O10" s="17"/>
      <c r="P10" s="105"/>
      <c r="Q10" s="95"/>
      <c r="R10" s="95"/>
      <c r="S10" s="96"/>
      <c r="T10" s="62"/>
      <c r="U10" s="113"/>
      <c r="V10" s="107"/>
      <c r="W10" s="108"/>
      <c r="X10" s="105"/>
      <c r="Y10" s="107"/>
      <c r="Z10" s="109"/>
      <c r="AA10" s="17"/>
      <c r="AB10" s="17"/>
    </row>
    <row r="11" spans="1:28" x14ac:dyDescent="0.2">
      <c r="A11" s="17" t="s">
        <v>195</v>
      </c>
      <c r="B11" s="17"/>
      <c r="C11" s="17"/>
      <c r="D11" s="110">
        <v>0</v>
      </c>
      <c r="E11" s="114">
        <f t="shared" ref="E11:J11" si="0">U49</f>
        <v>0</v>
      </c>
      <c r="F11" s="115">
        <f t="shared" si="0"/>
        <v>0</v>
      </c>
      <c r="G11" s="114">
        <f t="shared" si="0"/>
        <v>0</v>
      </c>
      <c r="H11" s="116">
        <f t="shared" si="0"/>
        <v>0</v>
      </c>
      <c r="I11" s="115">
        <f t="shared" si="0"/>
        <v>0</v>
      </c>
      <c r="J11" s="114">
        <f t="shared" si="0"/>
        <v>0</v>
      </c>
      <c r="K11" s="60"/>
      <c r="L11" s="117" t="s">
        <v>172</v>
      </c>
      <c r="M11" s="18"/>
      <c r="N11" s="17"/>
      <c r="O11" s="17"/>
      <c r="P11" s="43">
        <f>Assumptions!F11</f>
        <v>0.02</v>
      </c>
      <c r="Q11" s="73">
        <f>Assumptions!G11</f>
        <v>0.01</v>
      </c>
      <c r="R11" s="73">
        <f>Assumptions!H11</f>
        <v>0.03</v>
      </c>
      <c r="S11" s="47"/>
      <c r="T11" s="118">
        <f>Assumptions!E11</f>
        <v>65000</v>
      </c>
      <c r="U11" s="119">
        <f t="shared" ref="U11:W13" si="1">(1+P11)*$T11</f>
        <v>66300</v>
      </c>
      <c r="V11" s="120">
        <f t="shared" si="1"/>
        <v>65650</v>
      </c>
      <c r="W11" s="121">
        <f t="shared" si="1"/>
        <v>66950</v>
      </c>
      <c r="X11" s="122">
        <f t="shared" ref="X11:Z13" si="2">POWER(1+P11,3)*$T11</f>
        <v>68978.51999999999</v>
      </c>
      <c r="Y11" s="120">
        <f t="shared" si="2"/>
        <v>66969.564999999988</v>
      </c>
      <c r="Z11" s="123">
        <f t="shared" si="2"/>
        <v>71027.255000000005</v>
      </c>
      <c r="AA11" s="17"/>
      <c r="AB11" s="17"/>
    </row>
    <row r="12" spans="1:28" x14ac:dyDescent="0.2">
      <c r="A12" s="17" t="s">
        <v>64</v>
      </c>
      <c r="B12" s="17"/>
      <c r="C12" s="17"/>
      <c r="D12" s="124">
        <v>0.33</v>
      </c>
      <c r="E12" s="125">
        <f t="shared" ref="E12:J12" si="3">U14/U26</f>
        <v>0.35763493755526632</v>
      </c>
      <c r="F12" s="126">
        <f t="shared" si="3"/>
        <v>0.35054171594973554</v>
      </c>
      <c r="G12" s="125">
        <f t="shared" si="3"/>
        <v>0.36260565743700135</v>
      </c>
      <c r="H12" s="127">
        <f t="shared" si="3"/>
        <v>0.35512783352151017</v>
      </c>
      <c r="I12" s="126">
        <f t="shared" si="3"/>
        <v>0.33411366675354293</v>
      </c>
      <c r="J12" s="125">
        <f t="shared" si="3"/>
        <v>0.37037092418002754</v>
      </c>
      <c r="K12" s="60"/>
      <c r="L12" s="18" t="s">
        <v>173</v>
      </c>
      <c r="M12" s="18"/>
      <c r="N12" s="17"/>
      <c r="O12" s="17"/>
      <c r="P12" s="43">
        <f>Assumptions!F12</f>
        <v>0.02</v>
      </c>
      <c r="Q12" s="73">
        <f>Assumptions!G12</f>
        <v>0.01</v>
      </c>
      <c r="R12" s="73">
        <f>Assumptions!H12</f>
        <v>2.5000000000000001E-2</v>
      </c>
      <c r="S12" s="47"/>
      <c r="T12" s="118">
        <f>Assumptions!E12</f>
        <v>130400</v>
      </c>
      <c r="U12" s="119">
        <f t="shared" si="1"/>
        <v>133008</v>
      </c>
      <c r="V12" s="120">
        <f t="shared" si="1"/>
        <v>131704</v>
      </c>
      <c r="W12" s="121">
        <f t="shared" si="1"/>
        <v>133660</v>
      </c>
      <c r="X12" s="122">
        <f t="shared" si="2"/>
        <v>138381.5232</v>
      </c>
      <c r="Y12" s="120">
        <f t="shared" si="2"/>
        <v>134351.25039999999</v>
      </c>
      <c r="Z12" s="123">
        <f t="shared" si="2"/>
        <v>140426.53749999998</v>
      </c>
      <c r="AA12" s="17"/>
      <c r="AB12" s="17"/>
    </row>
    <row r="13" spans="1:28" x14ac:dyDescent="0.2">
      <c r="A13" s="17" t="s">
        <v>114</v>
      </c>
      <c r="B13" s="17"/>
      <c r="C13" s="17"/>
      <c r="D13" s="110" t="s">
        <v>202</v>
      </c>
      <c r="E13" s="114">
        <f t="shared" ref="E13:J13" si="4">U58</f>
        <v>2274391.9022810003</v>
      </c>
      <c r="F13" s="115">
        <f t="shared" si="4"/>
        <v>2199556.0384320002</v>
      </c>
      <c r="G13" s="114">
        <f t="shared" si="4"/>
        <v>2326716.1948470003</v>
      </c>
      <c r="H13" s="116">
        <f t="shared" si="4"/>
        <v>3075098.536675517</v>
      </c>
      <c r="I13" s="115">
        <f t="shared" si="4"/>
        <v>2941925.6673414223</v>
      </c>
      <c r="J13" s="114">
        <f t="shared" si="4"/>
        <v>3171938.0535939867</v>
      </c>
      <c r="K13" s="60"/>
      <c r="L13" s="18" t="s">
        <v>174</v>
      </c>
      <c r="M13" s="18"/>
      <c r="N13" s="17"/>
      <c r="O13" s="17"/>
      <c r="P13" s="43">
        <f>Assumptions!F13</f>
        <v>0.05</v>
      </c>
      <c r="Q13" s="73">
        <f>Assumptions!G13</f>
        <v>0.03</v>
      </c>
      <c r="R13" s="73">
        <f>Assumptions!H13</f>
        <v>0.06</v>
      </c>
      <c r="S13" s="47"/>
      <c r="T13" s="118">
        <f>Assumptions!E13</f>
        <v>110000</v>
      </c>
      <c r="U13" s="119">
        <f t="shared" si="1"/>
        <v>115500</v>
      </c>
      <c r="V13" s="120">
        <f t="shared" si="1"/>
        <v>113300</v>
      </c>
      <c r="W13" s="121">
        <f t="shared" si="1"/>
        <v>116600</v>
      </c>
      <c r="X13" s="122">
        <f t="shared" si="2"/>
        <v>127338.75000000001</v>
      </c>
      <c r="Y13" s="120">
        <f t="shared" si="2"/>
        <v>120199.97</v>
      </c>
      <c r="Z13" s="123">
        <f t="shared" si="2"/>
        <v>131011.76000000004</v>
      </c>
      <c r="AA13" s="17"/>
      <c r="AB13" s="17"/>
    </row>
    <row r="14" spans="1:28" x14ac:dyDescent="0.2">
      <c r="A14" s="17" t="s">
        <v>67</v>
      </c>
      <c r="B14" s="17"/>
      <c r="C14" s="17"/>
      <c r="D14" s="124">
        <v>0.67</v>
      </c>
      <c r="E14" s="125">
        <f t="shared" ref="E14:J14" si="5">U30/U44</f>
        <v>0.66931608952674648</v>
      </c>
      <c r="F14" s="126">
        <f t="shared" si="5"/>
        <v>0.65842108531655186</v>
      </c>
      <c r="G14" s="125">
        <f t="shared" si="5"/>
        <v>0.67995590890787139</v>
      </c>
      <c r="H14" s="127">
        <f t="shared" si="5"/>
        <v>0.67613642141135843</v>
      </c>
      <c r="I14" s="126">
        <f t="shared" si="5"/>
        <v>0.64328082779374762</v>
      </c>
      <c r="J14" s="125">
        <f t="shared" si="5"/>
        <v>0.70923741137020602</v>
      </c>
      <c r="K14" s="60"/>
      <c r="L14" s="18" t="s">
        <v>185</v>
      </c>
      <c r="M14" s="18"/>
      <c r="N14" s="17"/>
      <c r="O14" s="17"/>
      <c r="P14" s="43" t="s">
        <v>202</v>
      </c>
      <c r="Q14" s="73" t="s">
        <v>202</v>
      </c>
      <c r="R14" s="73" t="s">
        <v>202</v>
      </c>
      <c r="S14" s="47"/>
      <c r="T14" s="118">
        <f>SUM(T11:T13)</f>
        <v>305400</v>
      </c>
      <c r="U14" s="128">
        <f t="shared" ref="U14:Z14" si="6">SUM(U11:U13)</f>
        <v>314808</v>
      </c>
      <c r="V14" s="129">
        <f t="shared" si="6"/>
        <v>310654</v>
      </c>
      <c r="W14" s="130">
        <f t="shared" si="6"/>
        <v>317210</v>
      </c>
      <c r="X14" s="131">
        <f t="shared" si="6"/>
        <v>334698.79320000001</v>
      </c>
      <c r="Y14" s="129">
        <f t="shared" si="6"/>
        <v>321520.78539999994</v>
      </c>
      <c r="Z14" s="132">
        <f t="shared" si="6"/>
        <v>342465.55249999999</v>
      </c>
      <c r="AA14" s="17"/>
      <c r="AB14" s="17"/>
    </row>
    <row r="15" spans="1:28" x14ac:dyDescent="0.2">
      <c r="A15" s="17" t="s">
        <v>65</v>
      </c>
      <c r="B15" s="17"/>
      <c r="C15" s="17"/>
      <c r="D15" s="124">
        <v>0.06</v>
      </c>
      <c r="E15" s="125">
        <f t="shared" ref="E15:J15" si="7">U25/U26</f>
        <v>8.6365926881395647E-2</v>
      </c>
      <c r="F15" s="126">
        <f t="shared" si="7"/>
        <v>0.10389195424479025</v>
      </c>
      <c r="G15" s="125">
        <f t="shared" si="7"/>
        <v>7.1892524327849205E-2</v>
      </c>
      <c r="H15" s="127">
        <f t="shared" si="7"/>
        <v>9.2024401351188417E-2</v>
      </c>
      <c r="I15" s="126">
        <f t="shared" si="7"/>
        <v>0.14407776671539879</v>
      </c>
      <c r="J15" s="125">
        <f t="shared" si="7"/>
        <v>4.7652134146488695E-2</v>
      </c>
      <c r="K15" s="60"/>
      <c r="L15" s="18" t="s">
        <v>191</v>
      </c>
      <c r="M15" s="18"/>
      <c r="N15" s="17"/>
      <c r="O15" s="17"/>
      <c r="P15" s="43">
        <f>Assumptions!F15</f>
        <v>0.05</v>
      </c>
      <c r="Q15" s="73">
        <f>Assumptions!G15</f>
        <v>0.03</v>
      </c>
      <c r="R15" s="73">
        <f>Assumptions!H15</f>
        <v>0.06</v>
      </c>
      <c r="S15" s="47"/>
      <c r="T15" s="118">
        <f>Assumptions!E15</f>
        <v>25000</v>
      </c>
      <c r="U15" s="119">
        <f t="shared" ref="U15:W18" si="8">(1+P15)*$T15</f>
        <v>26250</v>
      </c>
      <c r="V15" s="120">
        <f t="shared" si="8"/>
        <v>25750</v>
      </c>
      <c r="W15" s="121">
        <f t="shared" si="8"/>
        <v>26500</v>
      </c>
      <c r="X15" s="122">
        <f t="shared" ref="X15:Z18" si="9">POWER(1+P15,3)*$T15</f>
        <v>28940.625000000004</v>
      </c>
      <c r="Y15" s="120">
        <f t="shared" si="9"/>
        <v>27318.174999999999</v>
      </c>
      <c r="Z15" s="123">
        <f t="shared" si="9"/>
        <v>29775.400000000009</v>
      </c>
      <c r="AA15" s="17"/>
      <c r="AB15" s="17"/>
    </row>
    <row r="16" spans="1:28" x14ac:dyDescent="0.2">
      <c r="A16" s="17" t="s">
        <v>205</v>
      </c>
      <c r="B16" s="17"/>
      <c r="C16" s="17"/>
      <c r="D16" s="110" t="s">
        <v>202</v>
      </c>
      <c r="E16" s="61"/>
      <c r="F16" s="133"/>
      <c r="G16" s="61"/>
      <c r="H16" s="134"/>
      <c r="I16" s="133"/>
      <c r="J16" s="61"/>
      <c r="K16" s="60"/>
      <c r="L16" s="18" t="s">
        <v>175</v>
      </c>
      <c r="M16" s="18"/>
      <c r="N16" s="17"/>
      <c r="O16" s="17"/>
      <c r="P16" s="43">
        <f>Assumptions!F16</f>
        <v>0.01</v>
      </c>
      <c r="Q16" s="73">
        <f>Assumptions!G16</f>
        <v>0</v>
      </c>
      <c r="R16" s="73">
        <f>Assumptions!H16</f>
        <v>0.02</v>
      </c>
      <c r="S16" s="47"/>
      <c r="T16" s="118">
        <f>Assumptions!E16</f>
        <v>63000</v>
      </c>
      <c r="U16" s="119">
        <f t="shared" si="8"/>
        <v>63630</v>
      </c>
      <c r="V16" s="120">
        <f t="shared" si="8"/>
        <v>63000</v>
      </c>
      <c r="W16" s="121">
        <f t="shared" si="8"/>
        <v>64260</v>
      </c>
      <c r="X16" s="122">
        <f t="shared" si="9"/>
        <v>64908.962999999996</v>
      </c>
      <c r="Y16" s="120">
        <f t="shared" si="9"/>
        <v>63000</v>
      </c>
      <c r="Z16" s="123">
        <f t="shared" si="9"/>
        <v>66856.103999999992</v>
      </c>
      <c r="AA16" s="17"/>
      <c r="AB16" s="17"/>
    </row>
    <row r="17" spans="1:28" x14ac:dyDescent="0.2">
      <c r="A17" s="17" t="s">
        <v>65</v>
      </c>
      <c r="B17" s="17"/>
      <c r="C17" s="17"/>
      <c r="D17" s="124">
        <v>1</v>
      </c>
      <c r="E17" s="125">
        <f>U56/(Assumptions!$E$61*U53)</f>
        <v>0.96986622064922734</v>
      </c>
      <c r="F17" s="126">
        <f>V56/(Assumptions!$E$61*V53)</f>
        <v>1.1745803499679353</v>
      </c>
      <c r="G17" s="125">
        <f>W56/(Assumptions!$E$61*W53)</f>
        <v>0.80234213727441472</v>
      </c>
      <c r="H17" s="127">
        <f>X56/(Assumptions!$E$61*X53)</f>
        <v>0.80053050669222892</v>
      </c>
      <c r="I17" s="126">
        <f>Y56/(Assumptions!$E$61*Y53)</f>
        <v>1.2797267050451693</v>
      </c>
      <c r="J17" s="125">
        <f>Z56/(Assumptions!$E$61*Z53)</f>
        <v>0.40669404704599588</v>
      </c>
      <c r="K17" s="60"/>
      <c r="L17" s="18" t="s">
        <v>97</v>
      </c>
      <c r="M17" s="18"/>
      <c r="N17" s="17"/>
      <c r="O17" s="17"/>
      <c r="P17" s="43">
        <f>Assumptions!F17</f>
        <v>7.0000000000000007E-2</v>
      </c>
      <c r="Q17" s="73">
        <f>Assumptions!G17</f>
        <v>0.05</v>
      </c>
      <c r="R17" s="73">
        <f>Assumptions!H17</f>
        <v>0.08</v>
      </c>
      <c r="S17" s="47"/>
      <c r="T17" s="118">
        <f>Assumptions!E17</f>
        <v>62000</v>
      </c>
      <c r="U17" s="119">
        <f t="shared" si="8"/>
        <v>66340</v>
      </c>
      <c r="V17" s="120">
        <f t="shared" si="8"/>
        <v>65100</v>
      </c>
      <c r="W17" s="121">
        <f t="shared" si="8"/>
        <v>66960</v>
      </c>
      <c r="X17" s="122">
        <f t="shared" si="9"/>
        <v>75952.666000000012</v>
      </c>
      <c r="Y17" s="120">
        <f t="shared" si="9"/>
        <v>71772.750000000015</v>
      </c>
      <c r="Z17" s="123">
        <f t="shared" si="9"/>
        <v>78102.144000000015</v>
      </c>
      <c r="AA17" s="17"/>
      <c r="AB17" s="17"/>
    </row>
    <row r="18" spans="1:28" x14ac:dyDescent="0.2">
      <c r="A18" s="17" t="s">
        <v>124</v>
      </c>
      <c r="B18" s="17"/>
      <c r="C18" s="17"/>
      <c r="D18" s="110" t="s">
        <v>202</v>
      </c>
      <c r="E18" s="61"/>
      <c r="F18" s="133"/>
      <c r="G18" s="61"/>
      <c r="H18" s="134"/>
      <c r="I18" s="133"/>
      <c r="J18" s="61"/>
      <c r="K18" s="60"/>
      <c r="L18" s="18" t="s">
        <v>96</v>
      </c>
      <c r="M18" s="18"/>
      <c r="N18" s="17"/>
      <c r="O18" s="17"/>
      <c r="P18" s="43">
        <f>Assumptions!F18</f>
        <v>0.03</v>
      </c>
      <c r="Q18" s="73">
        <f>Assumptions!G18</f>
        <v>0.02</v>
      </c>
      <c r="R18" s="73">
        <f>Assumptions!H18</f>
        <v>0.05</v>
      </c>
      <c r="S18" s="47"/>
      <c r="T18" s="118">
        <f>Assumptions!E18</f>
        <v>61100</v>
      </c>
      <c r="U18" s="119">
        <f t="shared" si="8"/>
        <v>62933</v>
      </c>
      <c r="V18" s="120">
        <f t="shared" si="8"/>
        <v>62322</v>
      </c>
      <c r="W18" s="121">
        <f t="shared" si="8"/>
        <v>64155</v>
      </c>
      <c r="X18" s="122">
        <f t="shared" si="9"/>
        <v>66765.619699999996</v>
      </c>
      <c r="Y18" s="120">
        <f t="shared" si="9"/>
        <v>64839.808799999999</v>
      </c>
      <c r="Z18" s="123">
        <f t="shared" si="9"/>
        <v>70730.887500000012</v>
      </c>
      <c r="AA18" s="17"/>
      <c r="AB18" s="17"/>
    </row>
    <row r="19" spans="1:28" x14ac:dyDescent="0.2">
      <c r="A19" s="17" t="s">
        <v>123</v>
      </c>
      <c r="B19" s="17"/>
      <c r="C19" s="17"/>
      <c r="D19" s="110" t="s">
        <v>206</v>
      </c>
      <c r="E19" s="135" t="str">
        <f t="shared" ref="E19:J19" si="10">IF(E17&gt;100%,"OVER","UNDER")</f>
        <v>UNDER</v>
      </c>
      <c r="F19" s="136" t="str">
        <f t="shared" si="10"/>
        <v>OVER</v>
      </c>
      <c r="G19" s="135" t="str">
        <f t="shared" si="10"/>
        <v>UNDER</v>
      </c>
      <c r="H19" s="137" t="str">
        <f t="shared" si="10"/>
        <v>UNDER</v>
      </c>
      <c r="I19" s="136" t="str">
        <f t="shared" si="10"/>
        <v>OVER</v>
      </c>
      <c r="J19" s="135" t="str">
        <f t="shared" si="10"/>
        <v>UNDER</v>
      </c>
      <c r="K19" s="60"/>
      <c r="L19" s="18" t="s">
        <v>98</v>
      </c>
      <c r="M19" s="18"/>
      <c r="N19" s="17"/>
      <c r="O19" s="17"/>
      <c r="P19" s="43" t="s">
        <v>202</v>
      </c>
      <c r="Q19" s="73" t="s">
        <v>202</v>
      </c>
      <c r="R19" s="73" t="s">
        <v>202</v>
      </c>
      <c r="S19" s="47"/>
      <c r="T19" s="118">
        <f>SUM(T20:T21)</f>
        <v>133000</v>
      </c>
      <c r="U19" s="119">
        <f t="shared" ref="U19:Z19" si="11">SUM(U20:U21)</f>
        <v>136990</v>
      </c>
      <c r="V19" s="120">
        <f t="shared" si="11"/>
        <v>135660</v>
      </c>
      <c r="W19" s="121">
        <f t="shared" si="11"/>
        <v>138320</v>
      </c>
      <c r="X19" s="122">
        <f t="shared" si="11"/>
        <v>145332.69099999999</v>
      </c>
      <c r="Y19" s="120">
        <f t="shared" si="11"/>
        <v>141140.66399999999</v>
      </c>
      <c r="Z19" s="123">
        <f t="shared" si="11"/>
        <v>149606.91200000001</v>
      </c>
      <c r="AA19" s="17"/>
      <c r="AB19" s="17"/>
    </row>
    <row r="20" spans="1:28" x14ac:dyDescent="0.2">
      <c r="A20" s="17" t="s">
        <v>167</v>
      </c>
      <c r="B20" s="17"/>
      <c r="C20" s="17"/>
      <c r="D20" s="124">
        <v>0.1</v>
      </c>
      <c r="E20" s="125">
        <f t="shared" ref="E20:J20" si="12">U16/U44</f>
        <v>7.2286317617854673E-2</v>
      </c>
      <c r="F20" s="126">
        <f t="shared" si="12"/>
        <v>7.1089147749049869E-2</v>
      </c>
      <c r="G20" s="125">
        <f t="shared" si="12"/>
        <v>7.3456194782326248E-2</v>
      </c>
      <c r="H20" s="127">
        <f t="shared" si="12"/>
        <v>6.8870817208306165E-2</v>
      </c>
      <c r="I20" s="126">
        <f t="shared" si="12"/>
        <v>6.5467496850277376E-2</v>
      </c>
      <c r="J20" s="125">
        <f t="shared" si="12"/>
        <v>7.2303788935256588E-2</v>
      </c>
      <c r="K20" s="60"/>
      <c r="L20" s="18" t="s">
        <v>11</v>
      </c>
      <c r="M20" s="18"/>
      <c r="N20" s="17"/>
      <c r="O20" s="17"/>
      <c r="P20" s="43">
        <f>Assumptions!F20</f>
        <v>0.03</v>
      </c>
      <c r="Q20" s="73">
        <f>Assumptions!G20</f>
        <v>0.02</v>
      </c>
      <c r="R20" s="73">
        <f>Assumptions!H20</f>
        <v>0.04</v>
      </c>
      <c r="S20" s="47"/>
      <c r="T20" s="118">
        <f>Assumptions!E20</f>
        <v>52000</v>
      </c>
      <c r="U20" s="119">
        <f t="shared" ref="U20:W23" si="13">(1+P20)*$T20</f>
        <v>53560</v>
      </c>
      <c r="V20" s="120">
        <f t="shared" si="13"/>
        <v>53040</v>
      </c>
      <c r="W20" s="121">
        <f t="shared" si="13"/>
        <v>54080</v>
      </c>
      <c r="X20" s="122">
        <f t="shared" ref="X20:Z23" si="14">POWER(1+P20,3)*$T20</f>
        <v>56821.804000000004</v>
      </c>
      <c r="Y20" s="120">
        <f t="shared" si="14"/>
        <v>55182.815999999999</v>
      </c>
      <c r="Z20" s="123">
        <f t="shared" si="14"/>
        <v>58492.928000000007</v>
      </c>
      <c r="AA20" s="17"/>
      <c r="AB20" s="17"/>
    </row>
    <row r="21" spans="1:28" x14ac:dyDescent="0.2">
      <c r="A21" s="17" t="s">
        <v>168</v>
      </c>
      <c r="B21" s="17"/>
      <c r="C21" s="17"/>
      <c r="D21" s="124">
        <v>0.08</v>
      </c>
      <c r="E21" s="125">
        <f t="shared" ref="E21:J21" si="15">U11/U44</f>
        <v>7.5319548295831609E-2</v>
      </c>
      <c r="F21" s="126">
        <f t="shared" si="15"/>
        <v>7.407940555119244E-2</v>
      </c>
      <c r="G21" s="125">
        <f t="shared" si="15"/>
        <v>7.6531158429454432E-2</v>
      </c>
      <c r="H21" s="127">
        <f t="shared" si="15"/>
        <v>7.3188768124665474E-2</v>
      </c>
      <c r="I21" s="126">
        <f t="shared" si="15"/>
        <v>6.9592536280983261E-2</v>
      </c>
      <c r="J21" s="125">
        <f t="shared" si="15"/>
        <v>7.6814820890111227E-2</v>
      </c>
      <c r="K21" s="60"/>
      <c r="L21" s="18" t="s">
        <v>12</v>
      </c>
      <c r="M21" s="18"/>
      <c r="N21" s="17"/>
      <c r="O21" s="17"/>
      <c r="P21" s="43">
        <f>Assumptions!F21</f>
        <v>0.03</v>
      </c>
      <c r="Q21" s="73">
        <f>Assumptions!G21</f>
        <v>0.02</v>
      </c>
      <c r="R21" s="73">
        <f>Assumptions!H21</f>
        <v>0.04</v>
      </c>
      <c r="S21" s="47"/>
      <c r="T21" s="118">
        <f>Assumptions!E21</f>
        <v>81000</v>
      </c>
      <c r="U21" s="119">
        <f t="shared" si="13"/>
        <v>83430</v>
      </c>
      <c r="V21" s="120">
        <f t="shared" si="13"/>
        <v>82620</v>
      </c>
      <c r="W21" s="121">
        <f t="shared" si="13"/>
        <v>84240</v>
      </c>
      <c r="X21" s="122">
        <f t="shared" si="14"/>
        <v>88510.887000000002</v>
      </c>
      <c r="Y21" s="120">
        <f t="shared" si="14"/>
        <v>85957.847999999998</v>
      </c>
      <c r="Z21" s="123">
        <f t="shared" si="14"/>
        <v>91113.984000000011</v>
      </c>
      <c r="AA21" s="17"/>
      <c r="AB21" s="17"/>
    </row>
    <row r="22" spans="1:28" x14ac:dyDescent="0.2">
      <c r="A22" s="17" t="s">
        <v>81</v>
      </c>
      <c r="B22" s="17"/>
      <c r="C22" s="17"/>
      <c r="D22" s="124">
        <v>0.1</v>
      </c>
      <c r="E22" s="125">
        <f t="shared" ref="E22:J22" si="16">U13/U44</f>
        <v>0.13121278775518175</v>
      </c>
      <c r="F22" s="126">
        <f t="shared" si="16"/>
        <v>0.12784762603122779</v>
      </c>
      <c r="G22" s="125">
        <f t="shared" si="16"/>
        <v>0.13328652834763835</v>
      </c>
      <c r="H22" s="127">
        <f t="shared" si="16"/>
        <v>0.13511113672828509</v>
      </c>
      <c r="I22" s="126">
        <f t="shared" si="16"/>
        <v>0.12490779614886406</v>
      </c>
      <c r="J22" s="125">
        <f t="shared" si="16"/>
        <v>0.14168708728639789</v>
      </c>
      <c r="K22" s="60"/>
      <c r="L22" s="18" t="s">
        <v>176</v>
      </c>
      <c r="M22" s="18"/>
      <c r="N22" s="17"/>
      <c r="O22" s="17"/>
      <c r="P22" s="43">
        <f>Assumptions!F22</f>
        <v>0.01</v>
      </c>
      <c r="Q22" s="73">
        <f>Assumptions!G22</f>
        <v>0</v>
      </c>
      <c r="R22" s="73">
        <f>Assumptions!H22</f>
        <v>0.02</v>
      </c>
      <c r="S22" s="47"/>
      <c r="T22" s="118">
        <f>Assumptions!E22</f>
        <v>85000</v>
      </c>
      <c r="U22" s="119">
        <f t="shared" si="13"/>
        <v>85850</v>
      </c>
      <c r="V22" s="120">
        <f t="shared" si="13"/>
        <v>85000</v>
      </c>
      <c r="W22" s="121">
        <f t="shared" si="13"/>
        <v>86700</v>
      </c>
      <c r="X22" s="122">
        <f t="shared" si="14"/>
        <v>87575.584999999992</v>
      </c>
      <c r="Y22" s="120">
        <f t="shared" si="14"/>
        <v>85000</v>
      </c>
      <c r="Z22" s="123">
        <f t="shared" si="14"/>
        <v>90202.68</v>
      </c>
      <c r="AA22" s="17"/>
      <c r="AB22" s="17"/>
    </row>
    <row r="23" spans="1:28" x14ac:dyDescent="0.2">
      <c r="A23" s="17" t="s">
        <v>82</v>
      </c>
      <c r="B23" s="17"/>
      <c r="C23" s="17"/>
      <c r="D23" s="124">
        <v>0.15</v>
      </c>
      <c r="E23" s="125">
        <f t="shared" ref="E23:J23" si="17">U12/U44</f>
        <v>0.15110260150425295</v>
      </c>
      <c r="F23" s="126">
        <f t="shared" si="17"/>
        <v>0.14861468436731531</v>
      </c>
      <c r="G23" s="125">
        <f t="shared" si="17"/>
        <v>0.15278797065990857</v>
      </c>
      <c r="H23" s="127">
        <f t="shared" si="17"/>
        <v>0.14682792866855965</v>
      </c>
      <c r="I23" s="126">
        <f t="shared" si="17"/>
        <v>0.13961333432369566</v>
      </c>
      <c r="J23" s="125">
        <f t="shared" si="17"/>
        <v>0.15186901600351846</v>
      </c>
      <c r="K23" s="60"/>
      <c r="L23" s="18" t="s">
        <v>194</v>
      </c>
      <c r="M23" s="18"/>
      <c r="N23" s="17"/>
      <c r="O23" s="17"/>
      <c r="P23" s="43">
        <f>Assumptions!F23</f>
        <v>0.05</v>
      </c>
      <c r="Q23" s="73">
        <f>Assumptions!G23</f>
        <v>0.03</v>
      </c>
      <c r="R23" s="73">
        <f>Assumptions!H23</f>
        <v>0.06</v>
      </c>
      <c r="S23" s="47"/>
      <c r="T23" s="118">
        <f>Assumptions!E23</f>
        <v>38500</v>
      </c>
      <c r="U23" s="119">
        <f t="shared" si="13"/>
        <v>40425</v>
      </c>
      <c r="V23" s="120">
        <f t="shared" si="13"/>
        <v>39655</v>
      </c>
      <c r="W23" s="121">
        <f t="shared" si="13"/>
        <v>40810</v>
      </c>
      <c r="X23" s="122">
        <f t="shared" si="14"/>
        <v>44568.562500000007</v>
      </c>
      <c r="Y23" s="120">
        <f t="shared" si="14"/>
        <v>42069.989500000003</v>
      </c>
      <c r="Z23" s="123">
        <f t="shared" si="14"/>
        <v>45854.116000000009</v>
      </c>
      <c r="AA23" s="17"/>
      <c r="AB23" s="17"/>
    </row>
    <row r="24" spans="1:28" x14ac:dyDescent="0.2">
      <c r="A24" s="17" t="s">
        <v>208</v>
      </c>
      <c r="B24" s="17"/>
      <c r="C24" s="17"/>
      <c r="D24" s="124">
        <v>1.4</v>
      </c>
      <c r="E24" s="125">
        <f t="shared" ref="E24:J25" si="18">U20/U34</f>
        <v>0.85409720283166068</v>
      </c>
      <c r="F24" s="126">
        <f t="shared" si="18"/>
        <v>0.84171898250076715</v>
      </c>
      <c r="G24" s="125">
        <f t="shared" si="18"/>
        <v>0.86659618628773383</v>
      </c>
      <c r="H24" s="127">
        <f t="shared" si="18"/>
        <v>0.85409720283166091</v>
      </c>
      <c r="I24" s="126">
        <f t="shared" si="18"/>
        <v>0.81749812541137312</v>
      </c>
      <c r="J24" s="125">
        <f t="shared" si="18"/>
        <v>0.89214556581921522</v>
      </c>
      <c r="K24" s="60"/>
      <c r="L24" s="18" t="s">
        <v>31</v>
      </c>
      <c r="M24" s="18"/>
      <c r="N24" s="17"/>
      <c r="O24" s="17"/>
      <c r="P24" s="43">
        <f>Assumptions!F24</f>
        <v>0</v>
      </c>
      <c r="Q24" s="73">
        <f>Assumptions!G24</f>
        <v>0</v>
      </c>
      <c r="R24" s="73">
        <f>Assumptions!H24</f>
        <v>0</v>
      </c>
      <c r="S24" s="47"/>
      <c r="T24" s="118">
        <f>Assumptions!E24</f>
        <v>7000</v>
      </c>
      <c r="U24" s="119">
        <f>$T$24*(1+P24)</f>
        <v>7000</v>
      </c>
      <c r="V24" s="119">
        <f>$T$24*(1+Q24)</f>
        <v>7000</v>
      </c>
      <c r="W24" s="119">
        <f>$T$24*(1+R24)</f>
        <v>7000</v>
      </c>
      <c r="X24" s="122">
        <f>$T$24*(1+P24)^3</f>
        <v>7000</v>
      </c>
      <c r="Y24" s="122">
        <f>$T$24*(1+Q24)^3</f>
        <v>7000</v>
      </c>
      <c r="Z24" s="122">
        <f>$T$24*(1+R24)^3</f>
        <v>7000</v>
      </c>
      <c r="AA24" s="17"/>
      <c r="AB24" s="17"/>
    </row>
    <row r="25" spans="1:28" x14ac:dyDescent="0.2">
      <c r="A25" s="17" t="s">
        <v>83</v>
      </c>
      <c r="B25" s="17"/>
      <c r="C25" s="17"/>
      <c r="D25" s="124">
        <v>1.4</v>
      </c>
      <c r="E25" s="125">
        <f t="shared" si="18"/>
        <v>1.0227272727272727</v>
      </c>
      <c r="F25" s="126">
        <f t="shared" si="18"/>
        <v>1.0079051383399209</v>
      </c>
      <c r="G25" s="125">
        <f t="shared" si="18"/>
        <v>1.0376940133037693</v>
      </c>
      <c r="H25" s="127">
        <f t="shared" si="18"/>
        <v>1.0227272727272727</v>
      </c>
      <c r="I25" s="126">
        <f t="shared" si="18"/>
        <v>0.97890219695101777</v>
      </c>
      <c r="J25" s="125">
        <f t="shared" si="18"/>
        <v>1.0682877761231242</v>
      </c>
      <c r="K25" s="60"/>
      <c r="L25" s="18" t="s">
        <v>193</v>
      </c>
      <c r="M25" s="18"/>
      <c r="N25" s="17"/>
      <c r="O25" s="17"/>
      <c r="P25" s="43" t="str">
        <f>Assumptions!F25</f>
        <v xml:space="preserve"> </v>
      </c>
      <c r="Q25" s="73"/>
      <c r="R25" s="73"/>
      <c r="S25" s="47"/>
      <c r="T25" s="118">
        <f>T56</f>
        <v>71106</v>
      </c>
      <c r="U25" s="119">
        <f t="shared" ref="U25:Z25" si="19">U56</f>
        <v>76023.569999999949</v>
      </c>
      <c r="V25" s="120">
        <f t="shared" si="19"/>
        <v>92070.214999999967</v>
      </c>
      <c r="W25" s="121">
        <f t="shared" si="19"/>
        <v>62892.089999999967</v>
      </c>
      <c r="X25" s="122">
        <f t="shared" si="19"/>
        <v>86730.616893000086</v>
      </c>
      <c r="Y25" s="120">
        <f t="shared" si="19"/>
        <v>138647.41650087491</v>
      </c>
      <c r="Z25" s="123">
        <f t="shared" si="19"/>
        <v>44061.81312534411</v>
      </c>
      <c r="AA25" s="17"/>
      <c r="AB25" s="17"/>
    </row>
    <row r="26" spans="1:28" x14ac:dyDescent="0.2">
      <c r="A26" s="17" t="s">
        <v>84</v>
      </c>
      <c r="B26" s="17"/>
      <c r="C26" s="17"/>
      <c r="D26" s="124">
        <v>1.4</v>
      </c>
      <c r="E26" s="125">
        <f t="shared" ref="E26:J26" si="20">U17/U36</f>
        <v>1.3498148836929176</v>
      </c>
      <c r="F26" s="126">
        <f t="shared" si="20"/>
        <v>1.3181857390526801</v>
      </c>
      <c r="G26" s="125">
        <f t="shared" si="20"/>
        <v>1.3690759759471183</v>
      </c>
      <c r="H26" s="127">
        <f t="shared" si="20"/>
        <v>1.456690602639289</v>
      </c>
      <c r="I26" s="126">
        <f t="shared" si="20"/>
        <v>1.3566708929548696</v>
      </c>
      <c r="J26" s="125">
        <f t="shared" si="20"/>
        <v>1.5199430989598752</v>
      </c>
      <c r="K26" s="60"/>
      <c r="L26" s="18" t="s">
        <v>186</v>
      </c>
      <c r="M26" s="18"/>
      <c r="N26" s="17"/>
      <c r="O26" s="17"/>
      <c r="P26" s="43"/>
      <c r="Q26" s="73"/>
      <c r="R26" s="73"/>
      <c r="S26" s="47"/>
      <c r="T26" s="118">
        <f t="shared" ref="T26:Z26" si="21">SUM(T14:T25)-T19</f>
        <v>851106</v>
      </c>
      <c r="U26" s="128">
        <f t="shared" si="21"/>
        <v>880249.57</v>
      </c>
      <c r="V26" s="128">
        <f t="shared" si="21"/>
        <v>886211.21499999997</v>
      </c>
      <c r="W26" s="128">
        <f t="shared" si="21"/>
        <v>874807.09</v>
      </c>
      <c r="X26" s="131">
        <f t="shared" si="21"/>
        <v>942474.12229300023</v>
      </c>
      <c r="Y26" s="131">
        <f t="shared" si="21"/>
        <v>962309.58920087491</v>
      </c>
      <c r="Z26" s="131">
        <f t="shared" si="21"/>
        <v>924655.60912534408</v>
      </c>
      <c r="AA26" s="17"/>
      <c r="AB26" s="17"/>
    </row>
    <row r="27" spans="1:28" x14ac:dyDescent="0.2">
      <c r="A27" s="17" t="s">
        <v>36</v>
      </c>
      <c r="B27" s="17"/>
      <c r="C27" s="17"/>
      <c r="D27" s="124">
        <v>0.14000000000000001</v>
      </c>
      <c r="E27" s="125">
        <f t="shared" ref="E27:J27" si="22">U43/U44</f>
        <v>0.13955165010759393</v>
      </c>
      <c r="F27" s="126">
        <f t="shared" si="22"/>
        <v>0.14117977507201826</v>
      </c>
      <c r="G27" s="125">
        <f t="shared" si="22"/>
        <v>0.13781948200717031</v>
      </c>
      <c r="H27" s="127">
        <f t="shared" si="22"/>
        <v>0.15202635192083958</v>
      </c>
      <c r="I27" s="126">
        <f t="shared" si="22"/>
        <v>0.15731867654536971</v>
      </c>
      <c r="J27" s="125">
        <f t="shared" si="22"/>
        <v>0.14650573631856528</v>
      </c>
      <c r="K27" s="60"/>
      <c r="L27" s="18"/>
      <c r="M27" s="18"/>
      <c r="N27" s="17"/>
      <c r="O27" s="17"/>
      <c r="P27" s="43"/>
      <c r="Q27" s="73"/>
      <c r="R27" s="73"/>
      <c r="S27" s="47"/>
      <c r="T27" s="118"/>
      <c r="U27" s="113"/>
      <c r="V27" s="138"/>
      <c r="W27" s="139"/>
      <c r="X27" s="140"/>
      <c r="Y27" s="138"/>
      <c r="Z27" s="141"/>
      <c r="AA27" s="17"/>
      <c r="AB27" s="17"/>
    </row>
    <row r="28" spans="1:28" x14ac:dyDescent="0.2">
      <c r="A28" s="17" t="s">
        <v>207</v>
      </c>
      <c r="B28" s="17"/>
      <c r="C28" s="17"/>
      <c r="D28" s="124">
        <v>0.14000000000000001</v>
      </c>
      <c r="E28" s="125">
        <f t="shared" ref="E28:J28" si="23">U42/U44</f>
        <v>0.10613335488479705</v>
      </c>
      <c r="F28" s="126">
        <f t="shared" si="23"/>
        <v>0.1059361452562976</v>
      </c>
      <c r="G28" s="125">
        <f t="shared" si="23"/>
        <v>0.10653189836401532</v>
      </c>
      <c r="H28" s="127">
        <f t="shared" si="23"/>
        <v>0.10313085615499015</v>
      </c>
      <c r="I28" s="126">
        <f t="shared" si="23"/>
        <v>0.10249774836693512</v>
      </c>
      <c r="J28" s="125">
        <f t="shared" si="23"/>
        <v>0.10434719702521775</v>
      </c>
      <c r="K28" s="60"/>
      <c r="L28" s="18" t="s">
        <v>188</v>
      </c>
      <c r="M28" s="18"/>
      <c r="N28" s="17"/>
      <c r="O28" s="17"/>
      <c r="P28" s="43"/>
      <c r="Q28" s="73"/>
      <c r="R28" s="73"/>
      <c r="S28" s="47"/>
      <c r="T28" s="118"/>
      <c r="U28" s="113"/>
      <c r="V28" s="138"/>
      <c r="W28" s="139"/>
      <c r="X28" s="140"/>
      <c r="Y28" s="138"/>
      <c r="Z28" s="141"/>
      <c r="AA28" s="17"/>
      <c r="AB28" s="17"/>
    </row>
    <row r="29" spans="1:28" x14ac:dyDescent="0.2">
      <c r="A29" s="17"/>
      <c r="B29" s="17"/>
      <c r="C29" s="17"/>
      <c r="D29" s="21"/>
      <c r="E29" s="17"/>
      <c r="F29" s="17"/>
      <c r="G29" s="17"/>
      <c r="H29" s="17"/>
      <c r="I29" s="17"/>
      <c r="J29" s="17"/>
      <c r="K29" s="60"/>
      <c r="L29" s="18" t="s">
        <v>26</v>
      </c>
      <c r="M29" s="18"/>
      <c r="N29" s="17"/>
      <c r="O29" s="17"/>
      <c r="P29" s="43">
        <f>Assumptions!F29</f>
        <v>2.75E-2</v>
      </c>
      <c r="Q29" s="73">
        <f>Assumptions!G29</f>
        <v>2.5000000000000001E-2</v>
      </c>
      <c r="R29" s="73">
        <f>Assumptions!H29</f>
        <v>0.03</v>
      </c>
      <c r="S29" s="47"/>
      <c r="T29" s="118">
        <f>Assumptions!E29</f>
        <v>284599</v>
      </c>
      <c r="U29" s="119">
        <f t="shared" ref="U29:W30" si="24">(1+P29)*$T29</f>
        <v>292425.47250000003</v>
      </c>
      <c r="V29" s="120">
        <f t="shared" si="24"/>
        <v>291713.97499999998</v>
      </c>
      <c r="W29" s="121">
        <f t="shared" si="24"/>
        <v>293136.97000000003</v>
      </c>
      <c r="X29" s="122">
        <f t="shared" ref="X29:Z30" si="25">POWER(1+P29,3)*$T29</f>
        <v>308730.02025107818</v>
      </c>
      <c r="Y29" s="120">
        <f t="shared" si="25"/>
        <v>306481.99498437496</v>
      </c>
      <c r="Z29" s="123">
        <f t="shared" si="25"/>
        <v>310989.01147299999</v>
      </c>
      <c r="AA29" s="17"/>
      <c r="AB29" s="17"/>
    </row>
    <row r="30" spans="1:28" x14ac:dyDescent="0.2">
      <c r="A30" s="17"/>
      <c r="B30" s="17"/>
      <c r="C30" s="17"/>
      <c r="D30" s="21"/>
      <c r="E30" s="17"/>
      <c r="F30" s="17"/>
      <c r="G30" s="17"/>
      <c r="H30" s="17"/>
      <c r="I30" s="17"/>
      <c r="J30" s="17"/>
      <c r="K30" s="60"/>
      <c r="L30" s="18" t="s">
        <v>182</v>
      </c>
      <c r="M30" s="18"/>
      <c r="N30" s="17"/>
      <c r="O30" s="17"/>
      <c r="P30" s="43">
        <f>Assumptions!F30</f>
        <v>0.04</v>
      </c>
      <c r="Q30" s="73">
        <f>Assumptions!G30</f>
        <v>0.03</v>
      </c>
      <c r="R30" s="73">
        <f>Assumptions!H30</f>
        <v>0.05</v>
      </c>
      <c r="S30" s="47"/>
      <c r="T30" s="118">
        <f>Assumptions!E30</f>
        <v>566505</v>
      </c>
      <c r="U30" s="119">
        <f t="shared" si="24"/>
        <v>589165.20000000007</v>
      </c>
      <c r="V30" s="120">
        <f t="shared" si="24"/>
        <v>583500.15</v>
      </c>
      <c r="W30" s="121">
        <f t="shared" si="24"/>
        <v>594830.25</v>
      </c>
      <c r="X30" s="122">
        <f t="shared" si="25"/>
        <v>637241.08032000007</v>
      </c>
      <c r="Y30" s="120">
        <f t="shared" si="25"/>
        <v>619035.30913499999</v>
      </c>
      <c r="Z30" s="123">
        <f t="shared" si="25"/>
        <v>655800.35062500008</v>
      </c>
      <c r="AA30" s="17"/>
      <c r="AB30" s="17"/>
    </row>
    <row r="31" spans="1:28" x14ac:dyDescent="0.2">
      <c r="A31" s="17"/>
      <c r="B31" s="17"/>
      <c r="C31" s="17"/>
      <c r="D31" s="21"/>
      <c r="E31" s="17"/>
      <c r="F31" s="17"/>
      <c r="G31" s="17"/>
      <c r="H31" s="17"/>
      <c r="I31" s="17"/>
      <c r="J31" s="17"/>
      <c r="K31" s="60"/>
      <c r="L31" s="18" t="s">
        <v>14</v>
      </c>
      <c r="M31" s="18"/>
      <c r="N31" s="17"/>
      <c r="O31" s="17"/>
      <c r="P31" s="43">
        <f>Assumptions!F31</f>
        <v>0</v>
      </c>
      <c r="Q31" s="73">
        <f>Assumptions!G31</f>
        <v>0</v>
      </c>
      <c r="R31" s="73">
        <f>Assumptions!H31</f>
        <v>0</v>
      </c>
      <c r="S31" s="47"/>
      <c r="T31" s="118"/>
      <c r="U31" s="119"/>
      <c r="V31" s="120"/>
      <c r="W31" s="121"/>
      <c r="X31" s="122"/>
      <c r="Y31" s="120"/>
      <c r="Z31" s="123"/>
      <c r="AA31" s="17"/>
      <c r="AB31" s="17"/>
    </row>
    <row r="32" spans="1:28" x14ac:dyDescent="0.2">
      <c r="A32" s="17"/>
      <c r="B32" s="17"/>
      <c r="C32" s="17"/>
      <c r="D32" s="21"/>
      <c r="E32" s="17"/>
      <c r="F32" s="17"/>
      <c r="G32" s="17"/>
      <c r="H32" s="17"/>
      <c r="I32" s="17"/>
      <c r="J32" s="17"/>
      <c r="K32" s="60"/>
      <c r="L32" s="18" t="s">
        <v>15</v>
      </c>
      <c r="M32" s="18"/>
      <c r="N32" s="17"/>
      <c r="O32" s="17"/>
      <c r="P32" s="43">
        <f>Assumptions!F32</f>
        <v>0</v>
      </c>
      <c r="Q32" s="73">
        <f>Assumptions!G32</f>
        <v>0</v>
      </c>
      <c r="R32" s="73">
        <f>Assumptions!H32</f>
        <v>0</v>
      </c>
      <c r="S32" s="47"/>
      <c r="T32" s="118"/>
      <c r="U32" s="119"/>
      <c r="V32" s="120"/>
      <c r="W32" s="121"/>
      <c r="X32" s="122"/>
      <c r="Y32" s="120"/>
      <c r="Z32" s="123"/>
      <c r="AA32" s="17"/>
      <c r="AB32" s="17"/>
    </row>
    <row r="33" spans="1:28" x14ac:dyDescent="0.2">
      <c r="A33" s="17"/>
      <c r="B33" s="17"/>
      <c r="C33" s="17"/>
      <c r="D33" s="21"/>
      <c r="E33" s="17"/>
      <c r="F33" s="17"/>
      <c r="G33" s="17"/>
      <c r="H33" s="17"/>
      <c r="I33" s="17"/>
      <c r="J33" s="17"/>
      <c r="K33" s="60"/>
      <c r="L33" s="18" t="s">
        <v>190</v>
      </c>
      <c r="M33" s="18"/>
      <c r="N33" s="17"/>
      <c r="O33" s="17"/>
      <c r="P33" s="43">
        <f>Assumptions!F33</f>
        <v>0</v>
      </c>
      <c r="Q33" s="73">
        <f>Assumptions!G33</f>
        <v>0</v>
      </c>
      <c r="R33" s="73">
        <f>Assumptions!H33</f>
        <v>0</v>
      </c>
      <c r="S33" s="47"/>
      <c r="T33" s="118">
        <f>SUM(T34:T40)</f>
        <v>529699</v>
      </c>
      <c r="U33" s="128">
        <f t="shared" ref="U33:Z33" si="26">SUM(U34:U40)</f>
        <v>545589.97</v>
      </c>
      <c r="V33" s="129">
        <f t="shared" si="26"/>
        <v>548238.46499999997</v>
      </c>
      <c r="W33" s="130">
        <f t="shared" si="26"/>
        <v>542941.47499999998</v>
      </c>
      <c r="X33" s="131">
        <f t="shared" si="26"/>
        <v>578816.39917300013</v>
      </c>
      <c r="Y33" s="129">
        <f t="shared" si="26"/>
        <v>587286.74966962484</v>
      </c>
      <c r="Z33" s="132">
        <f t="shared" si="26"/>
        <v>570427.8871718751</v>
      </c>
      <c r="AA33" s="17"/>
      <c r="AB33" s="17"/>
    </row>
    <row r="34" spans="1:28" x14ac:dyDescent="0.2">
      <c r="A34" s="17"/>
      <c r="B34" s="17"/>
      <c r="C34" s="17"/>
      <c r="D34" s="21"/>
      <c r="E34" s="17"/>
      <c r="F34" s="17"/>
      <c r="G34" s="17"/>
      <c r="H34" s="17"/>
      <c r="I34" s="17"/>
      <c r="J34" s="17"/>
      <c r="K34" s="60"/>
      <c r="L34" s="18" t="s">
        <v>16</v>
      </c>
      <c r="M34" s="18"/>
      <c r="N34" s="17"/>
      <c r="O34" s="17"/>
      <c r="P34" s="43">
        <f>Assumptions!F34</f>
        <v>0.03</v>
      </c>
      <c r="Q34" s="73">
        <f>Assumptions!G34</f>
        <v>3.5000000000000003E-2</v>
      </c>
      <c r="R34" s="73">
        <f>Assumptions!H34</f>
        <v>2.5000000000000001E-2</v>
      </c>
      <c r="S34" s="47"/>
      <c r="T34" s="118">
        <f>Assumptions!E34</f>
        <v>60883</v>
      </c>
      <c r="U34" s="119">
        <f t="shared" ref="U34:U43" si="27">(1+P34)*$T34</f>
        <v>62709.490000000005</v>
      </c>
      <c r="V34" s="120">
        <f t="shared" ref="V34:V43" si="28">(1+Q34)*$T34</f>
        <v>63013.904999999992</v>
      </c>
      <c r="W34" s="121">
        <f t="shared" ref="W34:W43" si="29">(1+R34)*$T34</f>
        <v>62405.074999999997</v>
      </c>
      <c r="X34" s="122">
        <f t="shared" ref="X34:X43" si="30">POWER(1+P34,3)*$T34</f>
        <v>66528.497940999994</v>
      </c>
      <c r="Y34" s="120">
        <f t="shared" ref="Y34:Y43" si="31">POWER(1+Q34,3)*$T34</f>
        <v>67502.070383624989</v>
      </c>
      <c r="Z34" s="123">
        <f t="shared" ref="Z34:Z43" si="32">POWER(1+R34,3)*$T34</f>
        <v>65564.331921874997</v>
      </c>
      <c r="AA34" s="17"/>
      <c r="AB34" s="17"/>
    </row>
    <row r="35" spans="1:28" x14ac:dyDescent="0.2">
      <c r="A35" s="17"/>
      <c r="B35" s="17"/>
      <c r="C35" s="17"/>
      <c r="D35" s="21"/>
      <c r="E35" s="17"/>
      <c r="F35" s="17"/>
      <c r="G35" s="17"/>
      <c r="H35" s="17"/>
      <c r="I35" s="17"/>
      <c r="J35" s="17"/>
      <c r="K35" s="60"/>
      <c r="L35" s="18" t="s">
        <v>17</v>
      </c>
      <c r="M35" s="18"/>
      <c r="N35" s="17"/>
      <c r="O35" s="17"/>
      <c r="P35" s="43">
        <f>Assumptions!F35</f>
        <v>0.03</v>
      </c>
      <c r="Q35" s="73">
        <f>Assumptions!G35</f>
        <v>3.5000000000000003E-2</v>
      </c>
      <c r="R35" s="73">
        <f>Assumptions!H35</f>
        <v>2.5000000000000001E-2</v>
      </c>
      <c r="S35" s="47"/>
      <c r="T35" s="118">
        <f>Assumptions!E35</f>
        <v>79200</v>
      </c>
      <c r="U35" s="119">
        <f t="shared" si="27"/>
        <v>81576</v>
      </c>
      <c r="V35" s="120">
        <f t="shared" si="28"/>
        <v>81972</v>
      </c>
      <c r="W35" s="121">
        <f t="shared" si="29"/>
        <v>81180</v>
      </c>
      <c r="X35" s="122">
        <f t="shared" si="30"/>
        <v>86543.978400000007</v>
      </c>
      <c r="Y35" s="120">
        <f t="shared" si="31"/>
        <v>87810.455699999977</v>
      </c>
      <c r="Z35" s="123">
        <f t="shared" si="32"/>
        <v>85289.737499999988</v>
      </c>
      <c r="AA35" s="17"/>
      <c r="AB35" s="17"/>
    </row>
    <row r="36" spans="1:28" x14ac:dyDescent="0.2">
      <c r="A36" s="17"/>
      <c r="B36" s="17"/>
      <c r="C36" s="17"/>
      <c r="D36" s="21"/>
      <c r="E36" s="17"/>
      <c r="F36" s="17"/>
      <c r="G36" s="17"/>
      <c r="H36" s="17"/>
      <c r="I36" s="17"/>
      <c r="J36" s="17"/>
      <c r="K36" s="60"/>
      <c r="L36" s="18" t="s">
        <v>18</v>
      </c>
      <c r="M36" s="18"/>
      <c r="N36" s="17"/>
      <c r="O36" s="17"/>
      <c r="P36" s="43">
        <f>Assumptions!F36</f>
        <v>0.03</v>
      </c>
      <c r="Q36" s="73">
        <f>Assumptions!G36</f>
        <v>3.5000000000000003E-2</v>
      </c>
      <c r="R36" s="73">
        <f>Assumptions!H36</f>
        <v>2.5000000000000001E-2</v>
      </c>
      <c r="S36" s="47"/>
      <c r="T36" s="118">
        <f>Assumptions!E36</f>
        <v>47716</v>
      </c>
      <c r="U36" s="119">
        <f t="shared" si="27"/>
        <v>49147.48</v>
      </c>
      <c r="V36" s="120">
        <f t="shared" si="28"/>
        <v>49386.06</v>
      </c>
      <c r="W36" s="121">
        <f t="shared" si="29"/>
        <v>48908.899999999994</v>
      </c>
      <c r="X36" s="122">
        <f t="shared" si="30"/>
        <v>52140.561532</v>
      </c>
      <c r="Y36" s="120">
        <f t="shared" si="31"/>
        <v>52903.582123499989</v>
      </c>
      <c r="Z36" s="123">
        <f t="shared" si="32"/>
        <v>51384.913062499996</v>
      </c>
      <c r="AA36" s="17"/>
      <c r="AB36" s="17"/>
    </row>
    <row r="37" spans="1:28" x14ac:dyDescent="0.2">
      <c r="A37" s="17"/>
      <c r="B37" s="17"/>
      <c r="C37" s="17"/>
      <c r="D37" s="21"/>
      <c r="E37" s="17"/>
      <c r="F37" s="17"/>
      <c r="G37" s="17"/>
      <c r="H37" s="17"/>
      <c r="I37" s="17"/>
      <c r="J37" s="17"/>
      <c r="K37" s="60"/>
      <c r="L37" s="18" t="s">
        <v>21</v>
      </c>
      <c r="M37" s="18"/>
      <c r="N37" s="17"/>
      <c r="O37" s="17"/>
      <c r="P37" s="43">
        <f>Assumptions!F37</f>
        <v>0.03</v>
      </c>
      <c r="Q37" s="73">
        <f>Assumptions!G37</f>
        <v>3.5000000000000003E-2</v>
      </c>
      <c r="R37" s="73">
        <f>Assumptions!H37</f>
        <v>2.5000000000000001E-2</v>
      </c>
      <c r="S37" s="47"/>
      <c r="T37" s="118">
        <f>Assumptions!E37</f>
        <v>91090</v>
      </c>
      <c r="U37" s="119">
        <f t="shared" si="27"/>
        <v>93822.7</v>
      </c>
      <c r="V37" s="120">
        <f t="shared" si="28"/>
        <v>94278.15</v>
      </c>
      <c r="W37" s="121">
        <f t="shared" si="29"/>
        <v>93367.249999999985</v>
      </c>
      <c r="X37" s="122">
        <f t="shared" si="30"/>
        <v>99536.502429999993</v>
      </c>
      <c r="Y37" s="120">
        <f t="shared" si="31"/>
        <v>100993.11123374998</v>
      </c>
      <c r="Z37" s="123">
        <f t="shared" si="32"/>
        <v>98093.967031249995</v>
      </c>
      <c r="AA37" s="17"/>
      <c r="AB37" s="17"/>
    </row>
    <row r="38" spans="1:28" x14ac:dyDescent="0.2">
      <c r="A38" s="17"/>
      <c r="B38" s="17"/>
      <c r="C38" s="17"/>
      <c r="D38" s="21"/>
      <c r="E38" s="17"/>
      <c r="F38" s="17"/>
      <c r="G38" s="17"/>
      <c r="H38" s="17"/>
      <c r="I38" s="17"/>
      <c r="J38" s="17"/>
      <c r="K38" s="60"/>
      <c r="L38" s="18" t="s">
        <v>23</v>
      </c>
      <c r="M38" s="18"/>
      <c r="N38" s="17"/>
      <c r="O38" s="17"/>
      <c r="P38" s="43">
        <f>Assumptions!F38</f>
        <v>0.03</v>
      </c>
      <c r="Q38" s="73">
        <f>Assumptions!G38</f>
        <v>3.5000000000000003E-2</v>
      </c>
      <c r="R38" s="73">
        <f>Assumptions!H38</f>
        <v>2.5000000000000001E-2</v>
      </c>
      <c r="S38" s="47"/>
      <c r="T38" s="118">
        <f>Assumptions!E38</f>
        <v>151266</v>
      </c>
      <c r="U38" s="119">
        <f t="shared" si="27"/>
        <v>155803.98000000001</v>
      </c>
      <c r="V38" s="120">
        <f t="shared" si="28"/>
        <v>156560.31</v>
      </c>
      <c r="W38" s="121">
        <f t="shared" si="29"/>
        <v>155047.65</v>
      </c>
      <c r="X38" s="122">
        <f t="shared" si="30"/>
        <v>165292.44238200001</v>
      </c>
      <c r="Y38" s="120">
        <f t="shared" si="31"/>
        <v>167711.31807974997</v>
      </c>
      <c r="Z38" s="123">
        <f t="shared" si="32"/>
        <v>162896.93728124999</v>
      </c>
      <c r="AA38" s="17"/>
      <c r="AB38" s="17"/>
    </row>
    <row r="39" spans="1:28" x14ac:dyDescent="0.2">
      <c r="A39" s="17"/>
      <c r="B39" s="17"/>
      <c r="C39" s="17"/>
      <c r="D39" s="21"/>
      <c r="E39" s="17"/>
      <c r="F39" s="17"/>
      <c r="G39" s="17"/>
      <c r="H39" s="17"/>
      <c r="I39" s="17"/>
      <c r="J39" s="17"/>
      <c r="K39" s="60"/>
      <c r="L39" s="18" t="s">
        <v>22</v>
      </c>
      <c r="M39" s="18"/>
      <c r="N39" s="17"/>
      <c r="O39" s="17"/>
      <c r="P39" s="43">
        <f>Assumptions!F39</f>
        <v>0.03</v>
      </c>
      <c r="Q39" s="73">
        <f>Assumptions!G39</f>
        <v>3.5000000000000003E-2</v>
      </c>
      <c r="R39" s="73">
        <f>Assumptions!H39</f>
        <v>2.5000000000000001E-2</v>
      </c>
      <c r="S39" s="47"/>
      <c r="T39" s="118">
        <f>Assumptions!E39</f>
        <v>75778</v>
      </c>
      <c r="U39" s="119">
        <f t="shared" si="27"/>
        <v>78051.34</v>
      </c>
      <c r="V39" s="120">
        <f t="shared" si="28"/>
        <v>78430.23</v>
      </c>
      <c r="W39" s="121">
        <f t="shared" si="29"/>
        <v>77672.45</v>
      </c>
      <c r="X39" s="122">
        <f t="shared" si="30"/>
        <v>82804.666605999999</v>
      </c>
      <c r="Y39" s="120">
        <f t="shared" si="31"/>
        <v>84016.42313174998</v>
      </c>
      <c r="Z39" s="123">
        <f t="shared" si="32"/>
        <v>81604.617781249995</v>
      </c>
      <c r="AA39" s="17"/>
      <c r="AB39" s="17"/>
    </row>
    <row r="40" spans="1:28" x14ac:dyDescent="0.2">
      <c r="A40" s="17"/>
      <c r="B40" s="17"/>
      <c r="C40" s="17"/>
      <c r="D40" s="21"/>
      <c r="E40" s="17"/>
      <c r="F40" s="17"/>
      <c r="G40" s="17"/>
      <c r="H40" s="17"/>
      <c r="I40" s="17"/>
      <c r="J40" s="17"/>
      <c r="K40" s="60"/>
      <c r="L40" s="18" t="s">
        <v>24</v>
      </c>
      <c r="M40" s="18"/>
      <c r="N40" s="17"/>
      <c r="O40" s="17"/>
      <c r="P40" s="43">
        <f>Assumptions!F40</f>
        <v>0.03</v>
      </c>
      <c r="Q40" s="73">
        <f>Assumptions!G40</f>
        <v>3.5000000000000003E-2</v>
      </c>
      <c r="R40" s="73">
        <f>Assumptions!H40</f>
        <v>2.5000000000000001E-2</v>
      </c>
      <c r="S40" s="47"/>
      <c r="T40" s="118">
        <f>Assumptions!E40</f>
        <v>23766</v>
      </c>
      <c r="U40" s="119">
        <f t="shared" si="27"/>
        <v>24478.98</v>
      </c>
      <c r="V40" s="120">
        <f t="shared" si="28"/>
        <v>24597.809999999998</v>
      </c>
      <c r="W40" s="121">
        <f t="shared" si="29"/>
        <v>24360.149999999998</v>
      </c>
      <c r="X40" s="122">
        <f t="shared" si="30"/>
        <v>25969.749882</v>
      </c>
      <c r="Y40" s="120">
        <f t="shared" si="31"/>
        <v>26349.789017249994</v>
      </c>
      <c r="Z40" s="123">
        <f t="shared" si="32"/>
        <v>25593.382593749997</v>
      </c>
      <c r="AA40" s="17"/>
      <c r="AB40" s="17"/>
    </row>
    <row r="41" spans="1:28" x14ac:dyDescent="0.2">
      <c r="A41" s="17"/>
      <c r="B41" s="17"/>
      <c r="C41" s="17"/>
      <c r="D41" s="21"/>
      <c r="E41" s="17"/>
      <c r="F41" s="17"/>
      <c r="G41" s="17"/>
      <c r="H41" s="17"/>
      <c r="I41" s="17"/>
      <c r="J41" s="17"/>
      <c r="K41" s="60"/>
      <c r="L41" s="18" t="s">
        <v>99</v>
      </c>
      <c r="M41" s="18"/>
      <c r="N41" s="17"/>
      <c r="O41" s="17"/>
      <c r="P41" s="43">
        <f>Assumptions!F41</f>
        <v>0.02</v>
      </c>
      <c r="Q41" s="73">
        <f>Assumptions!G41</f>
        <v>2.5000000000000001E-2</v>
      </c>
      <c r="R41" s="73">
        <f>Assumptions!H41</f>
        <v>1.7500000000000002E-2</v>
      </c>
      <c r="S41" s="47"/>
      <c r="T41" s="118">
        <f>Assumptions!E41</f>
        <v>116074</v>
      </c>
      <c r="U41" s="119">
        <f t="shared" si="27"/>
        <v>118395.48</v>
      </c>
      <c r="V41" s="120">
        <f t="shared" si="28"/>
        <v>118975.84999999999</v>
      </c>
      <c r="W41" s="121">
        <f t="shared" si="29"/>
        <v>118105.29500000001</v>
      </c>
      <c r="X41" s="122">
        <f t="shared" si="30"/>
        <v>123178.65739199999</v>
      </c>
      <c r="Y41" s="120">
        <f t="shared" si="31"/>
        <v>124999.00240624999</v>
      </c>
      <c r="Z41" s="123">
        <f t="shared" si="32"/>
        <v>122275.15007159376</v>
      </c>
      <c r="AA41" s="17"/>
      <c r="AB41" s="17"/>
    </row>
    <row r="42" spans="1:28" x14ac:dyDescent="0.2">
      <c r="A42" s="17"/>
      <c r="B42" s="17"/>
      <c r="C42" s="17"/>
      <c r="D42" s="21"/>
      <c r="E42" s="17"/>
      <c r="F42" s="17"/>
      <c r="G42" s="17"/>
      <c r="H42" s="17"/>
      <c r="I42" s="17"/>
      <c r="J42" s="17"/>
      <c r="K42" s="60"/>
      <c r="L42" s="18" t="s">
        <v>183</v>
      </c>
      <c r="M42" s="18"/>
      <c r="N42" s="17"/>
      <c r="O42" s="17"/>
      <c r="P42" s="43">
        <f>Assumptions!F42</f>
        <v>0.02</v>
      </c>
      <c r="Q42" s="73">
        <f>Assumptions!G42</f>
        <v>2.5000000000000001E-2</v>
      </c>
      <c r="R42" s="73">
        <f>Assumptions!H42</f>
        <v>1.7500000000000002E-2</v>
      </c>
      <c r="S42" s="47"/>
      <c r="T42" s="118">
        <f>Assumptions!E42</f>
        <v>91592</v>
      </c>
      <c r="U42" s="119">
        <f t="shared" si="27"/>
        <v>93423.84</v>
      </c>
      <c r="V42" s="120">
        <f t="shared" si="28"/>
        <v>93881.799999999988</v>
      </c>
      <c r="W42" s="121">
        <f t="shared" si="29"/>
        <v>93194.86</v>
      </c>
      <c r="X42" s="122">
        <f t="shared" si="30"/>
        <v>97198.163135999988</v>
      </c>
      <c r="Y42" s="120">
        <f t="shared" si="31"/>
        <v>98634.566124999983</v>
      </c>
      <c r="Z42" s="123">
        <f t="shared" si="32"/>
        <v>96485.221025875013</v>
      </c>
      <c r="AA42" s="17"/>
      <c r="AB42" s="17"/>
    </row>
    <row r="43" spans="1:28" x14ac:dyDescent="0.2">
      <c r="A43" s="17"/>
      <c r="B43" s="17"/>
      <c r="C43" s="17"/>
      <c r="D43" s="21"/>
      <c r="E43" s="17"/>
      <c r="F43" s="17"/>
      <c r="G43" s="17"/>
      <c r="H43" s="17"/>
      <c r="I43" s="17"/>
      <c r="J43" s="17"/>
      <c r="K43" s="60"/>
      <c r="L43" s="77" t="s">
        <v>184</v>
      </c>
      <c r="M43" s="77"/>
      <c r="N43" s="78"/>
      <c r="O43" s="78"/>
      <c r="P43" s="142">
        <f>Assumptions!F43</f>
        <v>0.08</v>
      </c>
      <c r="Q43" s="143">
        <f>Assumptions!G43</f>
        <v>0.1</v>
      </c>
      <c r="R43" s="143">
        <f>Assumptions!H43</f>
        <v>0.06</v>
      </c>
      <c r="S43" s="197"/>
      <c r="T43" s="118">
        <f>Assumptions!E43</f>
        <v>113741</v>
      </c>
      <c r="U43" s="144">
        <f t="shared" si="27"/>
        <v>122840.28000000001</v>
      </c>
      <c r="V43" s="145">
        <f t="shared" si="28"/>
        <v>125115.1</v>
      </c>
      <c r="W43" s="146">
        <f t="shared" si="29"/>
        <v>120565.46</v>
      </c>
      <c r="X43" s="147">
        <f t="shared" si="30"/>
        <v>143280.90259200003</v>
      </c>
      <c r="Y43" s="145">
        <f t="shared" si="31"/>
        <v>151389.27100000004</v>
      </c>
      <c r="Z43" s="148">
        <f t="shared" si="32"/>
        <v>135467.35085600003</v>
      </c>
      <c r="AA43" s="17"/>
      <c r="AB43" s="17"/>
    </row>
    <row r="44" spans="1:28" x14ac:dyDescent="0.2">
      <c r="A44" s="17"/>
      <c r="B44" s="17"/>
      <c r="C44" s="17"/>
      <c r="D44" s="21"/>
      <c r="E44" s="17"/>
      <c r="F44" s="17"/>
      <c r="G44" s="17"/>
      <c r="H44" s="17"/>
      <c r="I44" s="17"/>
      <c r="J44" s="17"/>
      <c r="K44" s="60"/>
      <c r="L44" s="18" t="s">
        <v>189</v>
      </c>
      <c r="M44" s="18"/>
      <c r="N44" s="17"/>
      <c r="O44" s="17"/>
      <c r="P44" s="43">
        <f>Assumptions!F44</f>
        <v>0</v>
      </c>
      <c r="Q44" s="73">
        <f>Assumptions!G44</f>
        <v>0</v>
      </c>
      <c r="R44" s="73">
        <f>Assumptions!H44</f>
        <v>0</v>
      </c>
      <c r="S44" s="47"/>
      <c r="T44" s="118">
        <f>SUM(T34:T43)</f>
        <v>851106</v>
      </c>
      <c r="U44" s="128">
        <f t="shared" ref="U44:Z44" si="33">SUM(U34:U43)</f>
        <v>880249.57</v>
      </c>
      <c r="V44" s="129">
        <f t="shared" si="33"/>
        <v>886211.21499999997</v>
      </c>
      <c r="W44" s="130">
        <f t="shared" si="33"/>
        <v>874807.09</v>
      </c>
      <c r="X44" s="131">
        <f t="shared" si="33"/>
        <v>942474.12229300011</v>
      </c>
      <c r="Y44" s="129">
        <f t="shared" si="33"/>
        <v>962309.58920087491</v>
      </c>
      <c r="Z44" s="132">
        <f t="shared" si="33"/>
        <v>924655.60912534408</v>
      </c>
      <c r="AA44" s="17"/>
      <c r="AB44" s="17"/>
    </row>
    <row r="45" spans="1:28" x14ac:dyDescent="0.2">
      <c r="A45" s="17"/>
      <c r="B45" s="17"/>
      <c r="C45" s="17"/>
      <c r="D45" s="21"/>
      <c r="E45" s="17"/>
      <c r="F45" s="17"/>
      <c r="G45" s="17"/>
      <c r="H45" s="17"/>
      <c r="I45" s="17"/>
      <c r="J45" s="17"/>
      <c r="K45" s="60"/>
      <c r="L45" s="18" t="s">
        <v>29</v>
      </c>
      <c r="M45" s="18"/>
      <c r="N45" s="17"/>
      <c r="O45" s="17"/>
      <c r="P45" s="43">
        <f>Assumptions!F45</f>
        <v>0</v>
      </c>
      <c r="Q45" s="73">
        <f>Assumptions!G45</f>
        <v>0</v>
      </c>
      <c r="R45" s="73">
        <f>Assumptions!H45</f>
        <v>0</v>
      </c>
      <c r="S45" s="47"/>
      <c r="T45" s="118">
        <f>Assumptions!E45</f>
        <v>72100</v>
      </c>
      <c r="U45" s="128"/>
      <c r="V45" s="129"/>
      <c r="W45" s="130"/>
      <c r="X45" s="131"/>
      <c r="Y45" s="129"/>
      <c r="Z45" s="132"/>
      <c r="AA45" s="17"/>
      <c r="AB45" s="17"/>
    </row>
    <row r="46" spans="1:28" x14ac:dyDescent="0.2">
      <c r="A46" s="17"/>
      <c r="B46" s="17"/>
      <c r="C46" s="17"/>
      <c r="D46" s="21"/>
      <c r="E46" s="17"/>
      <c r="F46" s="17"/>
      <c r="G46" s="17"/>
      <c r="H46" s="17"/>
      <c r="I46" s="17"/>
      <c r="J46" s="17"/>
      <c r="K46" s="60"/>
      <c r="L46" s="18" t="s">
        <v>30</v>
      </c>
      <c r="M46" s="18"/>
      <c r="N46" s="17"/>
      <c r="O46" s="17"/>
      <c r="P46" s="43">
        <f>Assumptions!F46</f>
        <v>0</v>
      </c>
      <c r="Q46" s="73">
        <f>Assumptions!G46</f>
        <v>0</v>
      </c>
      <c r="R46" s="73">
        <f>Assumptions!H46</f>
        <v>0</v>
      </c>
      <c r="S46" s="47"/>
      <c r="T46" s="118"/>
      <c r="U46" s="128"/>
      <c r="V46" s="129"/>
      <c r="W46" s="130"/>
      <c r="X46" s="131"/>
      <c r="Y46" s="129"/>
      <c r="Z46" s="132"/>
      <c r="AA46" s="17"/>
      <c r="AB46" s="17"/>
    </row>
    <row r="47" spans="1:28" x14ac:dyDescent="0.2">
      <c r="A47" s="17"/>
      <c r="B47" s="17"/>
      <c r="C47" s="17"/>
      <c r="D47" s="21"/>
      <c r="E47" s="17"/>
      <c r="F47" s="17"/>
      <c r="G47" s="17"/>
      <c r="H47" s="17"/>
      <c r="I47" s="17"/>
      <c r="J47" s="17"/>
      <c r="K47" s="60"/>
      <c r="L47" s="18"/>
      <c r="M47" s="18"/>
      <c r="N47" s="17"/>
      <c r="O47" s="17"/>
      <c r="P47" s="43"/>
      <c r="Q47" s="73"/>
      <c r="R47" s="73"/>
      <c r="S47" s="47"/>
      <c r="T47" s="118"/>
      <c r="U47" s="149"/>
      <c r="V47" s="150"/>
      <c r="W47" s="42"/>
      <c r="X47" s="151"/>
      <c r="Y47" s="150"/>
      <c r="Z47" s="152"/>
      <c r="AA47" s="17"/>
      <c r="AB47" s="17"/>
    </row>
    <row r="48" spans="1:28" x14ac:dyDescent="0.2">
      <c r="A48" s="17"/>
      <c r="B48" s="17"/>
      <c r="C48" s="17"/>
      <c r="D48" s="21"/>
      <c r="E48" s="17"/>
      <c r="F48" s="17"/>
      <c r="G48" s="17"/>
      <c r="H48" s="17"/>
      <c r="I48" s="17"/>
      <c r="J48" s="17"/>
      <c r="K48" s="60"/>
      <c r="L48" s="18" t="s">
        <v>195</v>
      </c>
      <c r="M48" s="18"/>
      <c r="N48" s="17"/>
      <c r="O48" s="17"/>
      <c r="P48" s="43"/>
      <c r="Q48" s="73"/>
      <c r="R48" s="73"/>
      <c r="S48" s="47"/>
      <c r="T48" s="118">
        <f>T26-T44</f>
        <v>0</v>
      </c>
      <c r="U48" s="153">
        <f t="shared" ref="U48:Z48" si="34">U26-U44</f>
        <v>0</v>
      </c>
      <c r="V48" s="154">
        <f t="shared" si="34"/>
        <v>0</v>
      </c>
      <c r="W48" s="155">
        <f t="shared" si="34"/>
        <v>0</v>
      </c>
      <c r="X48" s="156">
        <f t="shared" si="34"/>
        <v>0</v>
      </c>
      <c r="Y48" s="154">
        <f t="shared" si="34"/>
        <v>0</v>
      </c>
      <c r="Z48" s="157">
        <f t="shared" si="34"/>
        <v>0</v>
      </c>
      <c r="AA48" s="17"/>
      <c r="AB48" s="17"/>
    </row>
    <row r="49" spans="1:28" x14ac:dyDescent="0.2">
      <c r="A49" s="17"/>
      <c r="B49" s="17"/>
      <c r="C49" s="17"/>
      <c r="D49" s="21"/>
      <c r="E49" s="17"/>
      <c r="F49" s="17"/>
      <c r="G49" s="17"/>
      <c r="H49" s="17"/>
      <c r="I49" s="17"/>
      <c r="J49" s="17"/>
      <c r="K49" s="60"/>
      <c r="L49" s="18"/>
      <c r="M49" s="18"/>
      <c r="N49" s="17"/>
      <c r="O49" s="17"/>
      <c r="P49" s="43"/>
      <c r="Q49" s="73"/>
      <c r="R49" s="73"/>
      <c r="S49" s="47"/>
      <c r="T49" s="118"/>
      <c r="U49" s="106"/>
      <c r="V49" s="107"/>
      <c r="W49" s="108"/>
      <c r="X49" s="105"/>
      <c r="Y49" s="107"/>
      <c r="Z49" s="109"/>
      <c r="AA49" s="17"/>
      <c r="AB49" s="17"/>
    </row>
    <row r="50" spans="1:28" x14ac:dyDescent="0.2">
      <c r="A50" s="17"/>
      <c r="B50" s="17"/>
      <c r="C50" s="17"/>
      <c r="D50" s="21"/>
      <c r="E50" s="17"/>
      <c r="F50" s="17"/>
      <c r="G50" s="17"/>
      <c r="H50" s="17"/>
      <c r="I50" s="17"/>
      <c r="J50" s="17"/>
      <c r="K50" s="60"/>
      <c r="L50" s="18" t="s">
        <v>204</v>
      </c>
      <c r="M50" s="18"/>
      <c r="N50" s="17"/>
      <c r="O50" s="17"/>
      <c r="P50" s="43"/>
      <c r="Q50" s="73"/>
      <c r="R50" s="73"/>
      <c r="S50" s="47"/>
      <c r="T50" s="118">
        <f t="shared" ref="T50:Z50" si="35">SUM(T29:T30)-T44</f>
        <v>-2</v>
      </c>
      <c r="U50" s="128">
        <f t="shared" si="35"/>
        <v>1341.1025000001537</v>
      </c>
      <c r="V50" s="129">
        <f t="shared" si="35"/>
        <v>-10997.089999999967</v>
      </c>
      <c r="W50" s="130">
        <f t="shared" si="35"/>
        <v>13160.130000000005</v>
      </c>
      <c r="X50" s="131">
        <f t="shared" si="35"/>
        <v>3496.9782780781388</v>
      </c>
      <c r="Y50" s="129">
        <f t="shared" si="35"/>
        <v>-36792.285081499955</v>
      </c>
      <c r="Z50" s="132">
        <f t="shared" si="35"/>
        <v>42133.75297265593</v>
      </c>
      <c r="AA50" s="17"/>
      <c r="AB50" s="17"/>
    </row>
    <row r="51" spans="1:28" x14ac:dyDescent="0.2">
      <c r="A51" s="17"/>
      <c r="B51" s="17"/>
      <c r="C51" s="17"/>
      <c r="D51" s="21"/>
      <c r="E51" s="17"/>
      <c r="F51" s="17"/>
      <c r="G51" s="17"/>
      <c r="H51" s="17"/>
      <c r="I51" s="17"/>
      <c r="J51" s="17"/>
      <c r="K51" s="60"/>
      <c r="L51" s="18"/>
      <c r="M51" s="18"/>
      <c r="N51" s="17"/>
      <c r="O51" s="17"/>
      <c r="P51" s="43"/>
      <c r="Q51" s="73"/>
      <c r="R51" s="73"/>
      <c r="S51" s="47"/>
      <c r="T51" s="118"/>
      <c r="U51" s="113"/>
      <c r="V51" s="138"/>
      <c r="W51" s="139"/>
      <c r="X51" s="140"/>
      <c r="Y51" s="138"/>
      <c r="Z51" s="141"/>
      <c r="AA51" s="17"/>
      <c r="AB51" s="17"/>
    </row>
    <row r="52" spans="1:28" x14ac:dyDescent="0.2">
      <c r="A52" s="17"/>
      <c r="B52" s="17"/>
      <c r="C52" s="17"/>
      <c r="D52" s="21"/>
      <c r="E52" s="17"/>
      <c r="F52" s="17"/>
      <c r="G52" s="17"/>
      <c r="H52" s="17"/>
      <c r="I52" s="17"/>
      <c r="J52" s="17"/>
      <c r="K52" s="60"/>
      <c r="L52" s="18" t="s">
        <v>196</v>
      </c>
      <c r="M52" s="18"/>
      <c r="N52" s="17"/>
      <c r="O52" s="17"/>
      <c r="P52" s="43"/>
      <c r="Q52" s="73"/>
      <c r="R52" s="73"/>
      <c r="S52" s="47"/>
      <c r="T52" s="118"/>
      <c r="U52" s="113"/>
      <c r="V52" s="138"/>
      <c r="W52" s="139"/>
      <c r="X52" s="140"/>
      <c r="Y52" s="138"/>
      <c r="Z52" s="141"/>
      <c r="AA52" s="17"/>
      <c r="AB52" s="17"/>
    </row>
    <row r="53" spans="1:28" x14ac:dyDescent="0.2">
      <c r="A53" s="17"/>
      <c r="B53" s="17"/>
      <c r="C53" s="17"/>
      <c r="D53" s="21"/>
      <c r="E53" s="17"/>
      <c r="F53" s="17"/>
      <c r="G53" s="17"/>
      <c r="H53" s="17"/>
      <c r="I53" s="17"/>
      <c r="J53" s="17"/>
      <c r="K53" s="60"/>
      <c r="L53" s="18" t="s">
        <v>6</v>
      </c>
      <c r="M53" s="18"/>
      <c r="N53" s="17"/>
      <c r="O53" s="17"/>
      <c r="P53" s="43"/>
      <c r="Q53" s="73"/>
      <c r="R53" s="73"/>
      <c r="S53" s="47"/>
      <c r="T53" s="118">
        <f>Assumptions!E53</f>
        <v>1823127.6900000002</v>
      </c>
      <c r="U53" s="128">
        <f>T58</f>
        <v>1959640.6283000002</v>
      </c>
      <c r="V53" s="129">
        <f>$T58</f>
        <v>1959640.6283000002</v>
      </c>
      <c r="W53" s="130">
        <f>$T58</f>
        <v>1959640.6283000002</v>
      </c>
      <c r="X53" s="131">
        <f>'3.8 Long-term Model'!$H$58</f>
        <v>2708535.6575406701</v>
      </c>
      <c r="Y53" s="131">
        <f>'3.8 Long-term Model'!$H$58</f>
        <v>2708535.6575406701</v>
      </c>
      <c r="Z53" s="131">
        <f>'3.8 Long-term Model'!$H$58</f>
        <v>2708535.6575406701</v>
      </c>
      <c r="AA53" s="17"/>
      <c r="AB53" s="17"/>
    </row>
    <row r="54" spans="1:28" x14ac:dyDescent="0.2">
      <c r="A54" s="17"/>
      <c r="B54" s="17"/>
      <c r="C54" s="17"/>
      <c r="D54" s="21"/>
      <c r="E54" s="17"/>
      <c r="F54" s="17"/>
      <c r="G54" s="17"/>
      <c r="H54" s="17"/>
      <c r="I54" s="17"/>
      <c r="J54" s="17"/>
      <c r="K54" s="60"/>
      <c r="L54" s="18" t="s">
        <v>252</v>
      </c>
      <c r="M54" s="18"/>
      <c r="N54" s="17"/>
      <c r="O54" s="17"/>
      <c r="P54" s="43">
        <f>Assumptions!F54</f>
        <v>253600</v>
      </c>
      <c r="Q54" s="73">
        <f>Assumptions!G54</f>
        <v>356160</v>
      </c>
      <c r="R54" s="73">
        <f>Assumptions!H54</f>
        <v>263696</v>
      </c>
      <c r="S54" s="47"/>
      <c r="T54" s="118">
        <f>Assumptions!E54</f>
        <v>80000</v>
      </c>
      <c r="U54" s="118">
        <f>Assumptions!$F$54</f>
        <v>253600</v>
      </c>
      <c r="V54" s="118">
        <f>Assumptions!$F$54</f>
        <v>253600</v>
      </c>
      <c r="W54" s="118">
        <f>Assumptions!$F$54</f>
        <v>253600</v>
      </c>
      <c r="X54" s="118">
        <f>Assumptions!$H$54</f>
        <v>263696</v>
      </c>
      <c r="Y54" s="118">
        <f>Assumptions!$H$54</f>
        <v>263696</v>
      </c>
      <c r="Z54" s="118">
        <f>Assumptions!$H$54</f>
        <v>263696</v>
      </c>
      <c r="AA54" s="17"/>
      <c r="AB54" s="17"/>
    </row>
    <row r="55" spans="1:28" x14ac:dyDescent="0.2">
      <c r="A55" s="17"/>
      <c r="B55" s="17"/>
      <c r="C55" s="17"/>
      <c r="D55" s="21"/>
      <c r="E55" s="17"/>
      <c r="F55" s="17"/>
      <c r="G55" s="17"/>
      <c r="H55" s="17"/>
      <c r="I55" s="17"/>
      <c r="J55" s="17"/>
      <c r="K55" s="60"/>
      <c r="L55" s="18" t="s">
        <v>20</v>
      </c>
      <c r="M55" s="18"/>
      <c r="N55" s="17"/>
      <c r="O55" s="17"/>
      <c r="P55" s="43">
        <f>Assumptions!F62</f>
        <v>0.08</v>
      </c>
      <c r="Q55" s="73">
        <f>Assumptions!G62</f>
        <v>0.05</v>
      </c>
      <c r="R55" s="73">
        <f>Assumptions!H62</f>
        <v>0.1</v>
      </c>
      <c r="S55" s="47"/>
      <c r="T55" s="118">
        <f>T53*(P55)</f>
        <v>145850.21520000001</v>
      </c>
      <c r="U55" s="119">
        <f>($P$55)*U$53</f>
        <v>156771.25026400003</v>
      </c>
      <c r="V55" s="120">
        <f>($Q$55)*V$53</f>
        <v>97982.031415000019</v>
      </c>
      <c r="W55" s="121">
        <f>($R$55)*W$53</f>
        <v>195964.06283000004</v>
      </c>
      <c r="X55" s="122">
        <f>($P$55)*X$53</f>
        <v>216682.85260325362</v>
      </c>
      <c r="Y55" s="120">
        <f>($Q$55)*Y$53</f>
        <v>135426.78287703352</v>
      </c>
      <c r="Z55" s="123">
        <f>($R$55)*Z$53</f>
        <v>270853.56575406704</v>
      </c>
      <c r="AA55" s="17"/>
      <c r="AB55" s="17"/>
    </row>
    <row r="56" spans="1:28" x14ac:dyDescent="0.2">
      <c r="A56" s="17"/>
      <c r="B56" s="17"/>
      <c r="C56" s="17"/>
      <c r="D56" s="21"/>
      <c r="E56" s="17"/>
      <c r="F56" s="17"/>
      <c r="G56" s="17"/>
      <c r="H56" s="17"/>
      <c r="I56" s="17"/>
      <c r="J56" s="17"/>
      <c r="K56" s="60"/>
      <c r="L56" s="18" t="s">
        <v>198</v>
      </c>
      <c r="M56" s="17"/>
      <c r="N56" s="17"/>
      <c r="O56" s="17"/>
      <c r="P56" s="43"/>
      <c r="Q56" s="73"/>
      <c r="R56" s="73"/>
      <c r="S56" s="47"/>
      <c r="T56" s="118">
        <f t="shared" ref="T56:Z56" si="36">T44-(SUM(T14:T24)-T19)</f>
        <v>71106</v>
      </c>
      <c r="U56" s="128">
        <f t="shared" si="36"/>
        <v>76023.569999999949</v>
      </c>
      <c r="V56" s="128">
        <f t="shared" si="36"/>
        <v>92070.214999999967</v>
      </c>
      <c r="W56" s="128">
        <f t="shared" si="36"/>
        <v>62892.089999999967</v>
      </c>
      <c r="X56" s="128">
        <f t="shared" si="36"/>
        <v>86730.616893000086</v>
      </c>
      <c r="Y56" s="128">
        <f t="shared" si="36"/>
        <v>138647.41650087491</v>
      </c>
      <c r="Z56" s="128">
        <f t="shared" si="36"/>
        <v>44061.81312534411</v>
      </c>
      <c r="AA56" s="17"/>
      <c r="AB56" s="17"/>
    </row>
    <row r="57" spans="1:28" x14ac:dyDescent="0.2">
      <c r="A57" s="17"/>
      <c r="B57" s="17"/>
      <c r="C57" s="17"/>
      <c r="D57" s="21"/>
      <c r="E57" s="17"/>
      <c r="F57" s="17"/>
      <c r="G57" s="17"/>
      <c r="H57" s="17"/>
      <c r="I57" s="17"/>
      <c r="J57" s="17"/>
      <c r="K57" s="60"/>
      <c r="L57" s="18" t="s">
        <v>102</v>
      </c>
      <c r="M57" s="17"/>
      <c r="N57" s="17"/>
      <c r="O57" s="17"/>
      <c r="P57" s="43"/>
      <c r="Q57" s="73"/>
      <c r="R57" s="73"/>
      <c r="S57" s="47"/>
      <c r="T57" s="118">
        <f>T53*Assumptions!E63</f>
        <v>18231.276900000001</v>
      </c>
      <c r="U57" s="128">
        <f>Assumptions!$E$63*U53</f>
        <v>19596.406283000004</v>
      </c>
      <c r="V57" s="129">
        <f>Assumptions!$E$63*V53</f>
        <v>19596.406283000004</v>
      </c>
      <c r="W57" s="130">
        <f>Assumptions!$E$63*W53</f>
        <v>19596.406283000004</v>
      </c>
      <c r="X57" s="131">
        <f>Assumptions!$E$63*X53</f>
        <v>27085.356575406702</v>
      </c>
      <c r="Y57" s="129">
        <f>Assumptions!$E$63*Y53</f>
        <v>27085.356575406702</v>
      </c>
      <c r="Z57" s="132">
        <f>Assumptions!$E$63*Z53</f>
        <v>27085.356575406702</v>
      </c>
      <c r="AA57" s="17"/>
      <c r="AB57" s="17"/>
    </row>
    <row r="58" spans="1:28" x14ac:dyDescent="0.2">
      <c r="A58" s="17"/>
      <c r="B58" s="17"/>
      <c r="C58" s="17"/>
      <c r="D58" s="21"/>
      <c r="E58" s="17"/>
      <c r="F58" s="17"/>
      <c r="G58" s="17"/>
      <c r="H58" s="17"/>
      <c r="I58" s="17"/>
      <c r="J58" s="17"/>
      <c r="K58" s="60"/>
      <c r="L58" s="18" t="s">
        <v>7</v>
      </c>
      <c r="M58" s="17"/>
      <c r="N58" s="17"/>
      <c r="O58" s="17"/>
      <c r="P58" s="43"/>
      <c r="Q58" s="73"/>
      <c r="R58" s="73"/>
      <c r="S58" s="47"/>
      <c r="T58" s="20">
        <f t="shared" ref="T58:Z58" si="37">SUM(T53:T55)-SUM(T56:T57)</f>
        <v>1959640.6283000002</v>
      </c>
      <c r="U58" s="158">
        <f t="shared" si="37"/>
        <v>2274391.9022810003</v>
      </c>
      <c r="V58" s="158">
        <f t="shared" si="37"/>
        <v>2199556.0384320002</v>
      </c>
      <c r="W58" s="158">
        <f t="shared" si="37"/>
        <v>2326716.1948470003</v>
      </c>
      <c r="X58" s="158">
        <f t="shared" si="37"/>
        <v>3075098.536675517</v>
      </c>
      <c r="Y58" s="158">
        <f t="shared" si="37"/>
        <v>2941925.6673414223</v>
      </c>
      <c r="Z58" s="158">
        <f t="shared" si="37"/>
        <v>3171938.0535939867</v>
      </c>
      <c r="AA58" s="17"/>
      <c r="AB58" s="17"/>
    </row>
    <row r="59" spans="1:28" x14ac:dyDescent="0.2">
      <c r="A59" s="17"/>
      <c r="B59" s="17"/>
      <c r="C59" s="17"/>
      <c r="D59" s="21"/>
      <c r="E59" s="17"/>
      <c r="F59" s="17"/>
      <c r="G59" s="17"/>
      <c r="H59" s="17"/>
      <c r="I59" s="17"/>
      <c r="J59" s="17"/>
      <c r="K59" s="17"/>
      <c r="L59" s="17"/>
      <c r="M59" s="17"/>
      <c r="N59" s="17"/>
      <c r="O59" s="17"/>
      <c r="P59" s="61"/>
      <c r="Q59" s="61"/>
      <c r="R59" s="61"/>
      <c r="S59" s="61"/>
      <c r="T59" s="62"/>
      <c r="U59" s="23"/>
      <c r="V59" s="23"/>
      <c r="W59" s="23"/>
      <c r="X59" s="23"/>
      <c r="Y59" s="23"/>
      <c r="Z59" s="23"/>
      <c r="AA59" s="17"/>
      <c r="AB59" s="17"/>
    </row>
    <row r="60" spans="1:28" x14ac:dyDescent="0.2">
      <c r="A60" s="17"/>
      <c r="B60" s="17"/>
      <c r="C60" s="17"/>
      <c r="D60" s="21"/>
      <c r="E60" s="17"/>
      <c r="F60" s="17"/>
      <c r="G60" s="17"/>
      <c r="H60" s="17"/>
      <c r="I60" s="17"/>
      <c r="J60" s="17"/>
      <c r="K60" s="17"/>
      <c r="L60" s="17"/>
      <c r="M60" s="17"/>
      <c r="N60" s="17"/>
      <c r="O60" s="17"/>
      <c r="P60" s="61"/>
      <c r="Q60" s="61"/>
      <c r="R60" s="61"/>
      <c r="S60" s="61"/>
      <c r="T60" s="62"/>
      <c r="U60" s="23"/>
      <c r="V60" s="23"/>
      <c r="W60" s="23"/>
      <c r="X60" s="23"/>
      <c r="Y60" s="23"/>
      <c r="Z60" s="23"/>
      <c r="AA60" s="17"/>
      <c r="AB60" s="17"/>
    </row>
    <row r="61" spans="1:28" x14ac:dyDescent="0.2">
      <c r="A61" s="17"/>
      <c r="B61" s="17"/>
      <c r="C61" s="17"/>
      <c r="D61" s="21"/>
      <c r="E61" s="17"/>
      <c r="F61" s="17"/>
      <c r="G61" s="17"/>
      <c r="H61" s="17"/>
      <c r="I61" s="17"/>
      <c r="J61" s="17"/>
      <c r="K61" s="17"/>
      <c r="L61" s="17"/>
      <c r="M61" s="17"/>
      <c r="N61" s="17"/>
      <c r="O61" s="17"/>
      <c r="P61" s="61"/>
      <c r="Q61" s="61"/>
      <c r="R61" s="61"/>
      <c r="S61" s="61"/>
      <c r="T61" s="62"/>
      <c r="U61" s="23"/>
      <c r="V61" s="23"/>
      <c r="W61" s="23"/>
      <c r="X61" s="23"/>
      <c r="Y61" s="23"/>
      <c r="Z61" s="23"/>
      <c r="AA61" s="17"/>
      <c r="AB61" s="17"/>
    </row>
  </sheetData>
  <phoneticPr fontId="13" type="noConversion"/>
  <printOptions gridLines="1"/>
  <pageMargins left="0.5" right="0.5" top="0.5" bottom="0.5" header="0.5" footer="0.5"/>
  <pageSetup scale="70" fitToWidth="2" orientation="portrait" horizontalDpi="4294967293" verticalDpi="0" r:id="rId1"/>
  <headerFooter alignWithMargins="0"/>
  <colBreaks count="1" manualBreakCount="1">
    <brk id="10"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L61"/>
  <sheetViews>
    <sheetView workbookViewId="0"/>
  </sheetViews>
  <sheetFormatPr defaultColWidth="8.85546875" defaultRowHeight="12.75" x14ac:dyDescent="0.2"/>
  <cols>
    <col min="1" max="1" width="44.42578125" customWidth="1"/>
    <col min="2" max="3" width="8.85546875" customWidth="1"/>
    <col min="4" max="4" width="11.28515625" style="12" bestFit="1" customWidth="1"/>
    <col min="5" max="6" width="8.85546875" customWidth="1"/>
    <col min="7" max="11" width="12.7109375" style="6" customWidth="1"/>
    <col min="12" max="12" width="12.7109375" customWidth="1"/>
  </cols>
  <sheetData>
    <row r="1" spans="1:12" x14ac:dyDescent="0.2">
      <c r="A1" s="1" t="s">
        <v>222</v>
      </c>
    </row>
    <row r="2" spans="1:12" x14ac:dyDescent="0.2">
      <c r="A2" s="1" t="s">
        <v>170</v>
      </c>
    </row>
    <row r="3" spans="1:12" x14ac:dyDescent="0.2">
      <c r="A3" s="1" t="s">
        <v>169</v>
      </c>
    </row>
    <row r="5" spans="1:12" x14ac:dyDescent="0.2">
      <c r="A5" s="1" t="s">
        <v>68</v>
      </c>
      <c r="G5" s="3" t="s">
        <v>149</v>
      </c>
      <c r="H5" s="3" t="s">
        <v>215</v>
      </c>
      <c r="I5" s="3"/>
      <c r="J5" s="3"/>
      <c r="K5" s="3" t="s">
        <v>150</v>
      </c>
      <c r="L5" s="3" t="s">
        <v>151</v>
      </c>
    </row>
    <row r="6" spans="1:12" x14ac:dyDescent="0.2">
      <c r="D6" s="12" t="s">
        <v>214</v>
      </c>
      <c r="G6" s="3" t="s">
        <v>77</v>
      </c>
      <c r="H6" s="3" t="s">
        <v>78</v>
      </c>
      <c r="I6" s="3" t="s">
        <v>77</v>
      </c>
      <c r="J6" s="3"/>
      <c r="K6" s="3" t="s">
        <v>147</v>
      </c>
      <c r="L6" s="3" t="s">
        <v>147</v>
      </c>
    </row>
    <row r="7" spans="1:12" x14ac:dyDescent="0.2">
      <c r="A7" s="1" t="s">
        <v>177</v>
      </c>
      <c r="B7" s="3">
        <v>2003</v>
      </c>
      <c r="C7" s="3">
        <v>2004</v>
      </c>
      <c r="D7" s="201">
        <v>2005</v>
      </c>
      <c r="E7" s="3">
        <v>2006</v>
      </c>
      <c r="G7" s="3" t="s">
        <v>69</v>
      </c>
      <c r="H7" s="3" t="s">
        <v>143</v>
      </c>
      <c r="I7" s="3" t="s">
        <v>143</v>
      </c>
      <c r="J7" s="3" t="s">
        <v>145</v>
      </c>
      <c r="K7" s="10" t="s">
        <v>148</v>
      </c>
      <c r="L7" s="10" t="s">
        <v>148</v>
      </c>
    </row>
    <row r="8" spans="1:12" ht="13.5" thickBot="1" x14ac:dyDescent="0.25">
      <c r="A8" s="7"/>
      <c r="B8" s="8" t="s">
        <v>178</v>
      </c>
      <c r="C8" s="8" t="s">
        <v>178</v>
      </c>
      <c r="D8" s="200" t="s">
        <v>178</v>
      </c>
      <c r="E8" s="8" t="s">
        <v>192</v>
      </c>
      <c r="G8" s="11" t="s">
        <v>142</v>
      </c>
      <c r="H8" s="11" t="s">
        <v>144</v>
      </c>
      <c r="I8" s="11" t="s">
        <v>144</v>
      </c>
      <c r="J8" s="11" t="s">
        <v>146</v>
      </c>
      <c r="K8" s="8" t="s">
        <v>152</v>
      </c>
      <c r="L8" s="11" t="s">
        <v>153</v>
      </c>
    </row>
    <row r="9" spans="1:12" x14ac:dyDescent="0.2">
      <c r="A9" s="1" t="s">
        <v>187</v>
      </c>
    </row>
    <row r="10" spans="1:12" x14ac:dyDescent="0.2">
      <c r="A10" s="1" t="s">
        <v>171</v>
      </c>
    </row>
    <row r="11" spans="1:12" x14ac:dyDescent="0.2">
      <c r="A11" s="1" t="s">
        <v>172</v>
      </c>
      <c r="B11" s="2">
        <v>55000</v>
      </c>
      <c r="C11" s="4">
        <v>60000</v>
      </c>
      <c r="D11" s="16">
        <f>Assumptions!D11</f>
        <v>65000</v>
      </c>
      <c r="G11" s="13">
        <f>(C11/B11)-1</f>
        <v>9.0909090909090828E-2</v>
      </c>
      <c r="H11" s="13">
        <f>(D11/C11)-1</f>
        <v>8.3333333333333259E-2</v>
      </c>
    </row>
    <row r="12" spans="1:12" x14ac:dyDescent="0.2">
      <c r="A12" s="1" t="s">
        <v>173</v>
      </c>
      <c r="B12" s="2">
        <v>75000</v>
      </c>
      <c r="C12" s="4">
        <v>112500</v>
      </c>
      <c r="D12" s="16">
        <f>Assumptions!D12</f>
        <v>131500</v>
      </c>
      <c r="G12" s="13">
        <f t="shared" ref="G12:G19" si="0">(C12/B12)-1</f>
        <v>0.5</v>
      </c>
      <c r="H12" s="13">
        <f t="shared" ref="H12:H48" si="1">(D12/C12)-1</f>
        <v>0.16888888888888887</v>
      </c>
    </row>
    <row r="13" spans="1:12" x14ac:dyDescent="0.2">
      <c r="A13" s="1" t="s">
        <v>174</v>
      </c>
      <c r="B13" s="2">
        <v>70000</v>
      </c>
      <c r="C13" s="4">
        <v>60000</v>
      </c>
      <c r="D13" s="16">
        <f>Assumptions!D13</f>
        <v>62500</v>
      </c>
      <c r="G13" s="13">
        <f t="shared" si="0"/>
        <v>-0.1428571428571429</v>
      </c>
      <c r="H13" s="13">
        <f t="shared" si="1"/>
        <v>4.1666666666666741E-2</v>
      </c>
    </row>
    <row r="14" spans="1:12" x14ac:dyDescent="0.2">
      <c r="A14" s="1" t="s">
        <v>185</v>
      </c>
      <c r="B14" s="2">
        <f>SUM(B11:B13)</f>
        <v>200000</v>
      </c>
      <c r="C14" s="4">
        <f>SUM(C11:C13)</f>
        <v>232500</v>
      </c>
      <c r="D14" s="16">
        <f>Assumptions!D14</f>
        <v>259000</v>
      </c>
      <c r="G14" s="13">
        <f t="shared" si="0"/>
        <v>0.16250000000000009</v>
      </c>
      <c r="H14" s="13">
        <f t="shared" si="1"/>
        <v>0.11397849462365595</v>
      </c>
    </row>
    <row r="15" spans="1:12" x14ac:dyDescent="0.2">
      <c r="A15" s="1" t="s">
        <v>191</v>
      </c>
      <c r="B15" s="2">
        <v>15000</v>
      </c>
      <c r="C15" s="4">
        <v>12000</v>
      </c>
      <c r="D15" s="16">
        <f>Assumptions!D15</f>
        <v>15500</v>
      </c>
      <c r="G15" s="13">
        <f t="shared" si="0"/>
        <v>-0.19999999999999996</v>
      </c>
      <c r="H15" s="13">
        <f t="shared" si="1"/>
        <v>0.29166666666666674</v>
      </c>
    </row>
    <row r="16" spans="1:12" x14ac:dyDescent="0.2">
      <c r="A16" s="1" t="s">
        <v>175</v>
      </c>
      <c r="B16" s="2">
        <v>66000</v>
      </c>
      <c r="C16" s="4">
        <v>68000</v>
      </c>
      <c r="D16" s="16">
        <f>Assumptions!D16</f>
        <v>60000</v>
      </c>
      <c r="G16" s="13">
        <f t="shared" si="0"/>
        <v>3.0303030303030276E-2</v>
      </c>
      <c r="H16" s="13">
        <f t="shared" si="1"/>
        <v>-0.11764705882352944</v>
      </c>
    </row>
    <row r="17" spans="1:8" x14ac:dyDescent="0.2">
      <c r="A17" s="1" t="s">
        <v>97</v>
      </c>
      <c r="B17" s="2">
        <v>56000</v>
      </c>
      <c r="C17" s="2">
        <v>58050</v>
      </c>
      <c r="D17" s="16">
        <f>Assumptions!D17</f>
        <v>59500</v>
      </c>
      <c r="G17" s="13">
        <f t="shared" si="0"/>
        <v>3.6607142857142838E-2</v>
      </c>
      <c r="H17" s="13">
        <f t="shared" si="1"/>
        <v>2.4978466838931901E-2</v>
      </c>
    </row>
    <row r="18" spans="1:8" x14ac:dyDescent="0.2">
      <c r="A18" s="1" t="s">
        <v>96</v>
      </c>
      <c r="B18" s="2">
        <v>64406</v>
      </c>
      <c r="C18" s="2">
        <v>44400</v>
      </c>
      <c r="D18" s="16">
        <f>Assumptions!D18</f>
        <v>46126</v>
      </c>
      <c r="G18" s="13">
        <f t="shared" si="0"/>
        <v>-0.31062323386019941</v>
      </c>
      <c r="H18" s="13">
        <f t="shared" si="1"/>
        <v>3.8873873873873865E-2</v>
      </c>
    </row>
    <row r="19" spans="1:8" x14ac:dyDescent="0.2">
      <c r="A19" s="1" t="s">
        <v>98</v>
      </c>
      <c r="B19" s="2">
        <v>107625</v>
      </c>
      <c r="C19" s="2">
        <v>123100</v>
      </c>
      <c r="D19" s="16">
        <f>Assumptions!D19</f>
        <v>118194</v>
      </c>
      <c r="G19" s="13">
        <f t="shared" si="0"/>
        <v>0.14378629500580731</v>
      </c>
      <c r="H19" s="13">
        <f t="shared" si="1"/>
        <v>-3.9853777416734348E-2</v>
      </c>
    </row>
    <row r="20" spans="1:8" x14ac:dyDescent="0.2">
      <c r="A20" s="1" t="s">
        <v>11</v>
      </c>
      <c r="B20" s="2"/>
      <c r="C20" s="2"/>
      <c r="D20" s="16">
        <f>Assumptions!D20</f>
        <v>36000</v>
      </c>
      <c r="G20" s="13"/>
      <c r="H20" s="13" t="e">
        <f t="shared" si="1"/>
        <v>#DIV/0!</v>
      </c>
    </row>
    <row r="21" spans="1:8" x14ac:dyDescent="0.2">
      <c r="A21" s="1" t="s">
        <v>12</v>
      </c>
      <c r="B21" s="2"/>
      <c r="C21" s="2"/>
      <c r="D21" s="16">
        <f>Assumptions!D21</f>
        <v>82194</v>
      </c>
      <c r="G21" s="13"/>
      <c r="H21" s="13" t="e">
        <f t="shared" si="1"/>
        <v>#DIV/0!</v>
      </c>
    </row>
    <row r="22" spans="1:8" x14ac:dyDescent="0.2">
      <c r="A22" s="1" t="s">
        <v>176</v>
      </c>
      <c r="B22" s="2">
        <v>65000</v>
      </c>
      <c r="C22" s="2">
        <v>90000</v>
      </c>
      <c r="D22" s="16">
        <f>Assumptions!D22</f>
        <v>80000</v>
      </c>
      <c r="G22" s="13">
        <f>(C22/B22)-1</f>
        <v>0.38461538461538458</v>
      </c>
      <c r="H22" s="13">
        <f t="shared" si="1"/>
        <v>-0.11111111111111116</v>
      </c>
    </row>
    <row r="23" spans="1:8" x14ac:dyDescent="0.2">
      <c r="A23" s="1" t="s">
        <v>194</v>
      </c>
      <c r="B23" s="2">
        <v>49000</v>
      </c>
      <c r="C23" s="4">
        <v>53000</v>
      </c>
      <c r="D23" s="16">
        <f>Assumptions!D23</f>
        <v>34000</v>
      </c>
      <c r="G23" s="13">
        <f>(C23/B23)-1</f>
        <v>8.163265306122458E-2</v>
      </c>
      <c r="H23" s="13">
        <f t="shared" si="1"/>
        <v>-0.35849056603773588</v>
      </c>
    </row>
    <row r="24" spans="1:8" x14ac:dyDescent="0.2">
      <c r="A24" s="1" t="s">
        <v>13</v>
      </c>
      <c r="B24" s="2"/>
      <c r="C24" s="4"/>
      <c r="D24" s="16">
        <f>Assumptions!D24</f>
        <v>55500</v>
      </c>
      <c r="G24" s="13"/>
      <c r="H24" s="13" t="e">
        <f t="shared" si="1"/>
        <v>#DIV/0!</v>
      </c>
    </row>
    <row r="25" spans="1:8" x14ac:dyDescent="0.2">
      <c r="A25" s="1" t="s">
        <v>193</v>
      </c>
      <c r="B25" s="2">
        <v>146000</v>
      </c>
      <c r="C25" s="4">
        <f>C54</f>
        <v>137156</v>
      </c>
      <c r="D25" s="16">
        <f>Assumptions!D25</f>
        <v>75000</v>
      </c>
      <c r="G25" s="13">
        <f>(C25/B25)-1</f>
        <v>-6.0575342465753468E-2</v>
      </c>
      <c r="H25" s="13">
        <f t="shared" si="1"/>
        <v>-0.45317740383213279</v>
      </c>
    </row>
    <row r="26" spans="1:8" x14ac:dyDescent="0.2">
      <c r="A26" s="1" t="s">
        <v>186</v>
      </c>
      <c r="B26" s="2">
        <f>SUM(B14:B25)</f>
        <v>769031</v>
      </c>
      <c r="C26" s="2">
        <f>SUM(C14:C25)</f>
        <v>818206</v>
      </c>
      <c r="D26" s="16">
        <f>Assumptions!D26</f>
        <v>802820</v>
      </c>
      <c r="G26" s="13">
        <f>(C26/B26)-1</f>
        <v>6.3944106284402169E-2</v>
      </c>
      <c r="H26" s="13">
        <f t="shared" si="1"/>
        <v>-1.8804555332031292E-2</v>
      </c>
    </row>
    <row r="27" spans="1:8" x14ac:dyDescent="0.2">
      <c r="A27" s="1"/>
      <c r="B27" s="2"/>
      <c r="C27" s="2"/>
      <c r="G27" s="13"/>
      <c r="H27" s="13"/>
    </row>
    <row r="28" spans="1:8" x14ac:dyDescent="0.2">
      <c r="A28" s="1" t="s">
        <v>188</v>
      </c>
      <c r="B28" s="2"/>
      <c r="C28" s="2"/>
      <c r="G28" s="13"/>
      <c r="H28" s="13"/>
    </row>
    <row r="29" spans="1:8" x14ac:dyDescent="0.2">
      <c r="A29" s="1" t="s">
        <v>26</v>
      </c>
      <c r="B29" s="2">
        <v>300127</v>
      </c>
      <c r="C29" s="2">
        <v>256568</v>
      </c>
      <c r="D29" s="16">
        <f>Assumptions!D29</f>
        <v>267299</v>
      </c>
      <c r="G29" s="13">
        <f>(C29/B29)-1</f>
        <v>-0.14513522608762286</v>
      </c>
      <c r="H29" s="13">
        <f t="shared" si="1"/>
        <v>4.182516915593526E-2</v>
      </c>
    </row>
    <row r="30" spans="1:8" x14ac:dyDescent="0.2">
      <c r="A30" s="1" t="s">
        <v>182</v>
      </c>
      <c r="B30" s="2">
        <v>489722</v>
      </c>
      <c r="C30" s="4">
        <v>473853</v>
      </c>
      <c r="D30" s="16">
        <f>Assumptions!D30</f>
        <v>525042</v>
      </c>
      <c r="G30" s="13">
        <f>(C30/B30)-1</f>
        <v>-3.2404098651888202E-2</v>
      </c>
      <c r="H30" s="13">
        <f t="shared" si="1"/>
        <v>0.10802717298402675</v>
      </c>
    </row>
    <row r="31" spans="1:8" x14ac:dyDescent="0.2">
      <c r="A31" s="1" t="s">
        <v>14</v>
      </c>
      <c r="B31" s="2"/>
      <c r="C31" s="4"/>
      <c r="D31" s="16">
        <f>Assumptions!E31</f>
        <v>0</v>
      </c>
      <c r="G31" s="13"/>
      <c r="H31" s="13"/>
    </row>
    <row r="32" spans="1:8" x14ac:dyDescent="0.2">
      <c r="A32" s="1" t="s">
        <v>15</v>
      </c>
      <c r="B32" s="2"/>
      <c r="C32" s="4"/>
      <c r="D32" s="16">
        <f>Assumptions!E32</f>
        <v>0</v>
      </c>
      <c r="G32" s="13"/>
      <c r="H32" s="13"/>
    </row>
    <row r="33" spans="1:8" x14ac:dyDescent="0.2">
      <c r="A33" s="1" t="s">
        <v>190</v>
      </c>
      <c r="B33" s="2">
        <v>140160</v>
      </c>
      <c r="C33" s="16">
        <f>Assumptions!C33</f>
        <v>444084</v>
      </c>
      <c r="D33" s="16">
        <f>Assumptions!D33</f>
        <v>445659</v>
      </c>
      <c r="G33" s="13">
        <f t="shared" ref="G33:G41" si="2">(C33/B33)-1</f>
        <v>2.1684075342465752</v>
      </c>
      <c r="H33" s="13">
        <f t="shared" si="1"/>
        <v>3.5466263139405374E-3</v>
      </c>
    </row>
    <row r="34" spans="1:8" x14ac:dyDescent="0.2">
      <c r="A34" s="1" t="s">
        <v>16</v>
      </c>
      <c r="B34" s="2"/>
      <c r="C34" s="2">
        <v>49412</v>
      </c>
      <c r="D34" s="16">
        <f>Assumptions!D34</f>
        <v>60323</v>
      </c>
      <c r="G34" s="13" t="e">
        <f t="shared" si="2"/>
        <v>#DIV/0!</v>
      </c>
      <c r="H34" s="13">
        <f t="shared" si="1"/>
        <v>0.22081680563425898</v>
      </c>
    </row>
    <row r="35" spans="1:8" x14ac:dyDescent="0.2">
      <c r="A35" s="1" t="s">
        <v>17</v>
      </c>
      <c r="B35" s="2"/>
      <c r="C35" s="2">
        <v>70848</v>
      </c>
      <c r="D35" s="16">
        <f>Assumptions!D35</f>
        <v>67709</v>
      </c>
      <c r="G35" s="13" t="e">
        <f t="shared" si="2"/>
        <v>#DIV/0!</v>
      </c>
      <c r="H35" s="13">
        <f t="shared" si="1"/>
        <v>-4.4306120144534833E-2</v>
      </c>
    </row>
    <row r="36" spans="1:8" x14ac:dyDescent="0.2">
      <c r="A36" s="1" t="s">
        <v>18</v>
      </c>
      <c r="B36" s="2"/>
      <c r="C36" s="2">
        <v>40424</v>
      </c>
      <c r="D36" s="16">
        <f>Assumptions!D36</f>
        <v>45619</v>
      </c>
      <c r="G36" s="13" t="e">
        <f t="shared" si="2"/>
        <v>#DIV/0!</v>
      </c>
      <c r="H36" s="13">
        <f t="shared" si="1"/>
        <v>0.128512764694241</v>
      </c>
    </row>
    <row r="37" spans="1:8" x14ac:dyDescent="0.2">
      <c r="A37" s="1" t="s">
        <v>21</v>
      </c>
      <c r="B37" s="2"/>
      <c r="C37" s="2">
        <v>51693</v>
      </c>
      <c r="D37" s="16">
        <f>Assumptions!D37</f>
        <v>81789</v>
      </c>
      <c r="G37" s="13" t="e">
        <f t="shared" si="2"/>
        <v>#DIV/0!</v>
      </c>
      <c r="H37" s="13">
        <f t="shared" si="1"/>
        <v>0.58220648830596011</v>
      </c>
    </row>
    <row r="38" spans="1:8" x14ac:dyDescent="0.2">
      <c r="A38" s="1" t="s">
        <v>23</v>
      </c>
      <c r="B38" s="2"/>
      <c r="C38" s="2">
        <v>69365</v>
      </c>
      <c r="D38" s="16">
        <f>Assumptions!D38</f>
        <v>49700</v>
      </c>
      <c r="G38" s="13" t="e">
        <f t="shared" si="2"/>
        <v>#DIV/0!</v>
      </c>
      <c r="H38" s="13">
        <f t="shared" si="1"/>
        <v>-0.28350032437108053</v>
      </c>
    </row>
    <row r="39" spans="1:8" x14ac:dyDescent="0.2">
      <c r="A39" s="1" t="s">
        <v>22</v>
      </c>
      <c r="B39" s="2"/>
      <c r="C39" s="2">
        <v>117316</v>
      </c>
      <c r="D39" s="16">
        <f>Assumptions!D39</f>
        <v>93859</v>
      </c>
      <c r="G39" s="13" t="e">
        <f t="shared" si="2"/>
        <v>#DIV/0!</v>
      </c>
      <c r="H39" s="13">
        <f t="shared" si="1"/>
        <v>-0.19994715128371232</v>
      </c>
    </row>
    <row r="40" spans="1:8" x14ac:dyDescent="0.2">
      <c r="A40" s="1" t="s">
        <v>24</v>
      </c>
      <c r="B40" s="2"/>
      <c r="C40" s="2">
        <v>45026</v>
      </c>
      <c r="D40" s="16">
        <f>Assumptions!D40</f>
        <v>46660</v>
      </c>
      <c r="G40" s="13" t="e">
        <f t="shared" si="2"/>
        <v>#DIV/0!</v>
      </c>
      <c r="H40" s="13">
        <f t="shared" si="1"/>
        <v>3.629014347266013E-2</v>
      </c>
    </row>
    <row r="41" spans="1:8" x14ac:dyDescent="0.2">
      <c r="A41" s="1" t="s">
        <v>99</v>
      </c>
      <c r="B41" s="2">
        <v>68700</v>
      </c>
      <c r="C41" s="4">
        <v>88687</v>
      </c>
      <c r="D41" s="16">
        <f>Assumptions!D41</f>
        <v>103087</v>
      </c>
      <c r="G41" s="13">
        <f t="shared" si="2"/>
        <v>0.29093158660844254</v>
      </c>
      <c r="H41" s="13">
        <f t="shared" si="1"/>
        <v>0.16236878009178346</v>
      </c>
    </row>
    <row r="42" spans="1:8" x14ac:dyDescent="0.2">
      <c r="A42" s="1" t="s">
        <v>183</v>
      </c>
      <c r="B42" s="2">
        <v>56967</v>
      </c>
      <c r="C42" s="2">
        <v>131739</v>
      </c>
      <c r="D42" s="16">
        <f>Assumptions!D42</f>
        <v>118631</v>
      </c>
      <c r="G42" s="13"/>
      <c r="H42" s="13">
        <f t="shared" si="1"/>
        <v>-9.9499768481619011E-2</v>
      </c>
    </row>
    <row r="43" spans="1:8" x14ac:dyDescent="0.2">
      <c r="A43" s="1" t="s">
        <v>184</v>
      </c>
      <c r="B43" s="2">
        <v>34300</v>
      </c>
      <c r="C43" s="2">
        <v>78142</v>
      </c>
      <c r="D43" s="16">
        <f>Assumptions!D43</f>
        <v>91909</v>
      </c>
      <c r="G43" s="13">
        <f>(C42/B42)-1</f>
        <v>1.3125493706882931</v>
      </c>
      <c r="H43" s="13">
        <f t="shared" si="1"/>
        <v>0.17617926339228585</v>
      </c>
    </row>
    <row r="44" spans="1:8" x14ac:dyDescent="0.2">
      <c r="A44" s="1" t="s">
        <v>189</v>
      </c>
      <c r="B44" s="2">
        <f>SUM(B30:B43)</f>
        <v>789849</v>
      </c>
      <c r="C44" s="2">
        <f>SUM(C34:C43)</f>
        <v>742652</v>
      </c>
      <c r="D44" s="12">
        <f>SUM(D34:D43)</f>
        <v>759286</v>
      </c>
      <c r="G44" s="13"/>
      <c r="H44" s="13">
        <f t="shared" si="1"/>
        <v>2.2398108400704553E-2</v>
      </c>
    </row>
    <row r="45" spans="1:8" x14ac:dyDescent="0.2">
      <c r="A45" s="1" t="s">
        <v>119</v>
      </c>
      <c r="B45" s="2"/>
      <c r="C45" s="4">
        <v>11194</v>
      </c>
      <c r="D45" s="16">
        <f>Assumptions!D45</f>
        <v>0</v>
      </c>
      <c r="G45" s="13">
        <f t="shared" ref="G45:G53" si="3">(C43/B43)-1</f>
        <v>1.2781924198250727</v>
      </c>
      <c r="H45" s="13">
        <f t="shared" si="1"/>
        <v>-1</v>
      </c>
    </row>
    <row r="46" spans="1:8" x14ac:dyDescent="0.2">
      <c r="A46" s="1" t="s">
        <v>19</v>
      </c>
      <c r="B46" s="2"/>
      <c r="C46" s="2">
        <v>46581</v>
      </c>
      <c r="D46" s="16">
        <f>Assumptions!D46</f>
        <v>0</v>
      </c>
      <c r="G46" s="13">
        <f t="shared" si="3"/>
        <v>-5.9754459396669457E-2</v>
      </c>
      <c r="H46" s="13">
        <f t="shared" si="1"/>
        <v>-1</v>
      </c>
    </row>
    <row r="47" spans="1:8" x14ac:dyDescent="0.2">
      <c r="A47" s="1"/>
      <c r="B47" s="2"/>
      <c r="C47" s="2"/>
      <c r="D47" s="16"/>
      <c r="G47" s="13"/>
      <c r="H47" s="13"/>
    </row>
    <row r="48" spans="1:8" x14ac:dyDescent="0.2">
      <c r="A48" s="1" t="s">
        <v>195</v>
      </c>
      <c r="B48" s="2">
        <f>B26-B44</f>
        <v>-20818</v>
      </c>
      <c r="C48" s="2">
        <f>C26-C44</f>
        <v>75554</v>
      </c>
      <c r="D48" s="12">
        <v>0</v>
      </c>
      <c r="G48" s="13" t="e">
        <f t="shared" si="3"/>
        <v>#DIV/0!</v>
      </c>
      <c r="H48" s="13">
        <f t="shared" si="1"/>
        <v>-1</v>
      </c>
    </row>
    <row r="49" spans="1:8" x14ac:dyDescent="0.2">
      <c r="A49" s="1"/>
      <c r="B49" s="2"/>
      <c r="C49" s="2"/>
      <c r="D49" s="16"/>
      <c r="G49" s="13"/>
      <c r="H49" s="13"/>
    </row>
    <row r="50" spans="1:8" x14ac:dyDescent="0.2">
      <c r="A50" s="1" t="s">
        <v>196</v>
      </c>
      <c r="B50" s="2"/>
      <c r="C50" s="4"/>
      <c r="D50" s="16"/>
      <c r="G50" s="13">
        <f t="shared" si="3"/>
        <v>-4.6292631376693247</v>
      </c>
      <c r="H50" s="13">
        <f>(D48/C48)-1</f>
        <v>-1</v>
      </c>
    </row>
    <row r="51" spans="1:8" x14ac:dyDescent="0.2">
      <c r="A51" s="1" t="s">
        <v>6</v>
      </c>
      <c r="B51" s="2"/>
      <c r="C51" s="4">
        <v>1654000</v>
      </c>
      <c r="D51" s="16">
        <v>1596892</v>
      </c>
      <c r="G51" s="13" t="e">
        <f t="shared" si="3"/>
        <v>#DIV/0!</v>
      </c>
      <c r="H51" s="13">
        <f t="shared" ref="H51:H58" si="4">(D51/C51)-1</f>
        <v>-3.4527206771463148E-2</v>
      </c>
    </row>
    <row r="52" spans="1:8" x14ac:dyDescent="0.2">
      <c r="A52" s="1" t="s">
        <v>103</v>
      </c>
      <c r="B52" s="2"/>
      <c r="C52" s="4">
        <v>52043</v>
      </c>
      <c r="D52" s="16">
        <v>52000</v>
      </c>
      <c r="G52" s="13" t="e">
        <f t="shared" si="3"/>
        <v>#DIV/0!</v>
      </c>
      <c r="H52" s="13">
        <f t="shared" si="4"/>
        <v>-8.2623984013219243E-4</v>
      </c>
    </row>
    <row r="53" spans="1:8" x14ac:dyDescent="0.2">
      <c r="A53" s="1" t="s">
        <v>20</v>
      </c>
      <c r="B53" s="2"/>
      <c r="C53" s="4">
        <v>132320</v>
      </c>
      <c r="D53" s="16">
        <v>127751.36</v>
      </c>
      <c r="G53" s="13" t="e">
        <f t="shared" si="3"/>
        <v>#DIV/0!</v>
      </c>
      <c r="H53" s="13">
        <f t="shared" si="4"/>
        <v>-3.4527206771463148E-2</v>
      </c>
    </row>
    <row r="54" spans="1:8" x14ac:dyDescent="0.2">
      <c r="A54" s="1" t="s">
        <v>198</v>
      </c>
      <c r="B54" s="2"/>
      <c r="C54" s="4">
        <v>137156</v>
      </c>
      <c r="D54" s="16">
        <v>127041</v>
      </c>
      <c r="G54" s="13"/>
      <c r="H54" s="13">
        <f t="shared" si="4"/>
        <v>-7.3748140803173046E-2</v>
      </c>
    </row>
    <row r="55" spans="1:8" x14ac:dyDescent="0.2">
      <c r="A55" s="1" t="s">
        <v>28</v>
      </c>
      <c r="B55" s="2"/>
      <c r="C55" s="4">
        <v>57775</v>
      </c>
      <c r="D55" s="16">
        <v>0</v>
      </c>
      <c r="G55" s="13"/>
      <c r="H55" s="13">
        <f t="shared" si="4"/>
        <v>-1</v>
      </c>
    </row>
    <row r="56" spans="1:8" x14ac:dyDescent="0.2">
      <c r="A56" s="1" t="s">
        <v>101</v>
      </c>
      <c r="B56" s="2"/>
      <c r="C56" s="4">
        <v>30000</v>
      </c>
      <c r="D56" s="16">
        <v>0</v>
      </c>
      <c r="G56" s="13" t="e">
        <f>(C54/B54)-1</f>
        <v>#DIV/0!</v>
      </c>
      <c r="H56" s="13">
        <f t="shared" si="4"/>
        <v>-1</v>
      </c>
    </row>
    <row r="57" spans="1:8" x14ac:dyDescent="0.2">
      <c r="A57" s="1" t="s">
        <v>102</v>
      </c>
      <c r="B57" s="2"/>
      <c r="C57" s="4">
        <v>16540</v>
      </c>
      <c r="D57" s="16">
        <v>15968.92</v>
      </c>
      <c r="G57" s="13" t="e">
        <f>(C55/B55)-1</f>
        <v>#DIV/0!</v>
      </c>
      <c r="H57" s="13">
        <f t="shared" si="4"/>
        <v>-3.4527206771463148E-2</v>
      </c>
    </row>
    <row r="58" spans="1:8" x14ac:dyDescent="0.2">
      <c r="A58" s="1" t="s">
        <v>7</v>
      </c>
      <c r="B58" s="2">
        <v>1654000</v>
      </c>
      <c r="C58" s="4">
        <v>1596892</v>
      </c>
      <c r="D58" s="12">
        <v>1633633.44</v>
      </c>
      <c r="G58" s="13" t="e">
        <f>(C56/B56)-1</f>
        <v>#DIV/0!</v>
      </c>
      <c r="H58" s="13">
        <f t="shared" si="4"/>
        <v>2.3008093221081882E-2</v>
      </c>
    </row>
    <row r="59" spans="1:8" x14ac:dyDescent="0.2">
      <c r="G59" s="13"/>
      <c r="H59" s="13"/>
    </row>
    <row r="60" spans="1:8" x14ac:dyDescent="0.2">
      <c r="G60" s="13"/>
      <c r="H60" s="13"/>
    </row>
    <row r="61" spans="1:8" x14ac:dyDescent="0.2">
      <c r="G61" s="13"/>
      <c r="H61" s="13"/>
    </row>
  </sheetData>
  <phoneticPr fontId="0" type="noConversion"/>
  <printOptions horizontalCentered="1" verticalCentered="1" gridLines="1"/>
  <pageMargins left="0.5" right="0.5" top="0.5" bottom="0.75" header="0.5" footer="0.5"/>
  <pageSetup paperSize="5" scale="72" orientation="landscape" r:id="rId1"/>
  <headerFooter alignWithMargins="0">
    <oddHeader>&amp;F</oddHeader>
    <oddFooter>Page &amp;P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workbookViewId="0"/>
  </sheetViews>
  <sheetFormatPr defaultRowHeight="12.75" x14ac:dyDescent="0.2"/>
  <sheetData>
    <row r="1" spans="1:1" x14ac:dyDescent="0.2">
      <c r="A1" s="211" t="s">
        <v>222</v>
      </c>
    </row>
    <row r="2" spans="1:1" x14ac:dyDescent="0.2">
      <c r="A2" s="211" t="s">
        <v>170</v>
      </c>
    </row>
  </sheetData>
  <phoneticPr fontId="13"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43" r:id="rId4" name="CommandButton1">
          <controlPr autoLine="0" autoPict="0" r:id="rId5">
            <anchor moveWithCells="1">
              <from>
                <xdr:col>12</xdr:col>
                <xdr:colOff>419100</xdr:colOff>
                <xdr:row>4</xdr:row>
                <xdr:rowOff>38100</xdr:rowOff>
              </from>
              <to>
                <xdr:col>14</xdr:col>
                <xdr:colOff>114300</xdr:colOff>
                <xdr:row>8</xdr:row>
                <xdr:rowOff>142875</xdr:rowOff>
              </to>
            </anchor>
          </controlPr>
        </control>
      </mc:Choice>
      <mc:Fallback>
        <control shapeId="1024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Overview </vt:lpstr>
      <vt:lpstr>Instructions</vt:lpstr>
      <vt:lpstr>Log of changes</vt:lpstr>
      <vt:lpstr>Guide to Sheets</vt:lpstr>
      <vt:lpstr>Influence chart</vt:lpstr>
      <vt:lpstr>Assumptions</vt:lpstr>
      <vt:lpstr>3.8 Long-term Model</vt:lpstr>
      <vt:lpstr>Short-Term Results</vt:lpstr>
      <vt:lpstr>Historical data</vt:lpstr>
      <vt:lpstr>Ratio charts</vt:lpstr>
      <vt:lpstr>Assumptions!Print_Area</vt:lpstr>
      <vt:lpstr>'Overview '!Print_Area</vt:lpstr>
      <vt:lpstr>'Short-Term Results'!Print_Area</vt:lpstr>
    </vt:vector>
  </TitlesOfParts>
  <Company>Dartmouth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Steve.Powell</dc:creator>
  <cp:lastModifiedBy>Baker, Kenneth R.</cp:lastModifiedBy>
  <cp:lastPrinted>2006-01-13T15:11:57Z</cp:lastPrinted>
  <dcterms:created xsi:type="dcterms:W3CDTF">2003-12-02T23:21:31Z</dcterms:created>
  <dcterms:modified xsi:type="dcterms:W3CDTF">2016-01-18T05:37:14Z</dcterms:modified>
</cp:coreProperties>
</file>